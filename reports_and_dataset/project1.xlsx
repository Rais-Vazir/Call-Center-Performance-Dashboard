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https://d.docs.live.net/ab138bdc8ac9eabd/Desktop/"/>
    </mc:Choice>
  </mc:AlternateContent>
  <xr:revisionPtr revIDLastSave="8" documentId="13_ncr:1_{4161FC1D-D064-4473-95B6-E36121ED70F8}" xr6:coauthVersionLast="47" xr6:coauthVersionMax="47" xr10:uidLastSave="{39D264AB-01D2-4839-A1C5-AD199706E177}"/>
  <bookViews>
    <workbookView xWindow="-108" yWindow="-108" windowWidth="23256" windowHeight="12456" activeTab="2" xr2:uid="{26D4546B-D2A1-4444-8EAF-A6228F96F0C1}"/>
  </bookViews>
  <sheets>
    <sheet name="Data" sheetId="2" r:id="rId1"/>
    <sheet name="customer center report" sheetId="5" r:id="rId2"/>
    <sheet name="pivots" sheetId="7" r:id="rId3"/>
    <sheet name="Assets" sheetId="4" r:id="rId4"/>
  </sheets>
  <definedNames>
    <definedName name="_xlnm._FilterDatabase" localSheetId="0"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17" r:id="rId9"/>
    <pivotCache cacheId="120" r:id="rId10"/>
    <pivotCache cacheId="123" r:id="rId11"/>
    <pivotCache cacheId="126" r:id="rId12"/>
    <pivotCache cacheId="12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9" i="7" l="1"/>
  <c r="L28" i="5" s="1"/>
  <c r="K61" i="7" l="1"/>
  <c r="K65" i="7" s="1"/>
  <c r="L31" i="5" s="1"/>
  <c r="N62" i="7"/>
  <c r="K63" i="7" s="1"/>
  <c r="K67" i="7" s="1"/>
  <c r="L33" i="5" s="1"/>
  <c r="N61" i="7"/>
  <c r="K62" i="7" s="1"/>
  <c r="K66" i="7" s="1"/>
  <c r="L32" i="5" s="1"/>
  <c r="Q18" i="5" a="1"/>
  <c r="Q18" i="5" s="1"/>
  <c r="P19" i="5" a="1"/>
  <c r="P19" i="5" s="1"/>
  <c r="J50" i="7" l="1"/>
  <c r="F53" i="7" a="1"/>
  <c r="F53" i="7" s="1"/>
  <c r="I4" i="2"/>
  <c r="J55" i="7" l="1"/>
  <c r="J54" i="7"/>
  <c r="I53" i="7"/>
  <c r="I57" i="7"/>
  <c r="I56" i="7"/>
  <c r="I55" i="7"/>
  <c r="I54" i="7"/>
  <c r="J53" i="7"/>
  <c r="J57" i="7"/>
  <c r="J56"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c r="K35" i="2" a="1"/>
  <c r="K35" i="2"/>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s="1"/>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s="1"/>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s="1"/>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s="1"/>
  <c r="K763" i="2" a="1"/>
  <c r="K763" i="2" s="1"/>
  <c r="K764" i="2" a="1"/>
  <c r="K764" i="2" s="1"/>
  <c r="K765" i="2" a="1"/>
  <c r="K765" i="2"/>
  <c r="K766" i="2" a="1"/>
  <c r="K766" i="2"/>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s="1"/>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s="1"/>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E7EFE5-140B-4520-821A-B76BF4F20B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8F1F4A0-1AF8-4944-8E68-1E8704F8C4F0}"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A94F21B2-2793-4D7C-A092-2EF4BF709599}"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<sst xmlns="http://schemas.openxmlformats.org/spreadsheetml/2006/main" count="3177" uniqueCount="1088">
  <si>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</si>
  <si>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</si>
  <si>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</si>
  <si>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</si>
  <si>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</si>
  <si>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</si>
  <si>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</si>
  <si>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</si>
  <si>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</si>
  <si>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</si>
  <si>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</si>
  <si>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</si>
  <si>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</si>
  <si>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</si>
  <si>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</si>
  <si>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</si>
  <si>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</si>
  <si>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</si>
  <si>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</si>
  <si>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</si>
  <si>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</si>
  <si>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</si>
  <si>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</si>
  <si>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</si>
  <si>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</si>
  <si>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</si>
  <si>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</si>
  <si>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</si>
  <si>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</si>
  <si>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</si>
  <si>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</si>
  <si>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</si>
  <si>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</si>
  <si>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</si>
  <si>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</si>
  <si>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</si>
  <si>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</si>
  <si>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</si>
  <si>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</si>
  <si>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</si>
  <si>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</si>
  <si>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</si>
  <si>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</si>
  <si>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</si>
  <si>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</si>
  <si>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</si>
  <si>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</si>
  <si>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</si>
  <si>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</si>
  <si>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</si>
  <si>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</si>
  <si>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</si>
  <si>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</si>
  <si>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</si>
  <si>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</si>
  <si>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</si>
  <si>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</si>
  <si>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</si>
  <si>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</si>
  <si>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</si>
  <si>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</si>
  <si>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</si>
  <si>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</si>
  <si>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</si>
  <si>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</si>
  <si>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</si>
  <si>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</si>
  <si>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</si>
  <si>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</si>
  <si>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</si>
  <si>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</si>
  <si>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</si>
  <si>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</si>
  <si>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</si>
  <si>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</si>
  <si>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</si>
  <si>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</si>
  <si>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</si>
  <si>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</si>
  <si>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</si>
  <si>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</si>
  <si>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</si>
  <si>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</si>
  <si>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</si>
  <si>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</si>
  <si>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</si>
  <si>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</si>
  <si>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</si>
  <si>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</si>
  <si>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</si>
  <si>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</si>
  <si>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</si>
  <si>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</si>
  <si>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</si>
  <si>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</si>
  <si>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</si>
  <si>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</si>
  <si>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</si>
  <si>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</si>
  <si>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</si>
  <si>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</si>
  <si>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</si>
  <si>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</si>
  <si>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</si>
  <si>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</si>
  <si>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</si>
  <si>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</si>
  <si>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</si>
  <si>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</si>
  <si>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</si>
  <si>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</si>
  <si>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</si>
  <si>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</si>
  <si>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</si>
  <si>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</si>
  <si>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</si>
  <si>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</si>
  <si>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</si>
  <si>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</si>
  <si>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</si>
  <si>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</si>
  <si>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</si>
  <si>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</si>
  <si>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</si>
  <si>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</si>
  <si>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</si>
  <si>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</si>
  <si>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</si>
  <si>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</si>
  <si>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</si>
  <si>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</si>
  <si>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</si>
  <si>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</si>
  <si>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</si>
  <si>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</si>
  <si>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</si>
  <si>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</si>
  <si>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</si>
  <si>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</si>
  <si>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</si>
  <si>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</si>
  <si>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</si>
  <si>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</si>
  <si>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</si>
  <si>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</si>
  <si>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</si>
  <si>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</si>
  <si>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</si>
  <si>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</si>
  <si>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</si>
  <si>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</si>
  <si>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</si>
  <si>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</si>
  <si>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</si>
  <si>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</si>
  <si>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</si>
  <si>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</si>
  <si>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</si>
  <si>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</si>
  <si>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</si>
  <si>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</si>
  <si>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</si>
  <si>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</si>
  <si>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</si>
  <si>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</si>
  <si>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</si>
  <si>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</si>
  <si>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</si>
  <si>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</si>
  <si>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</si>
  <si>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</si>
  <si>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</si>
  <si>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</si>
  <si>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</si>
  <si>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</si>
  <si>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</si>
  <si>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</si>
  <si>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</si>
  <si>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</si>
  <si>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</si>
  <si>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</si>
  <si>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</si>
  <si>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</si>
  <si>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</si>
  <si>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</si>
  <si>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</si>
  <si>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</si>
  <si>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</si>
  <si>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</si>
  <si>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</si>
  <si>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</si>
  <si>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</si>
  <si>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</si>
  <si>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</si>
  <si>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</si>
  <si>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</si>
  <si>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</si>
  <si>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</si>
  <si>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</si>
  <si>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</si>
  <si>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</si>
  <si>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</si>
  <si>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</si>
  <si>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</si>
  <si>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</si>
  <si>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</si>
  <si>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</si>
  <si>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</si>
  <si>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</si>
  <si>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</si>
  <si>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</si>
  <si>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</si>
  <si>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</si>
  <si>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</si>
  <si>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</si>
  <si>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</si>
  <si>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</si>
  <si>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</si>
  <si>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</si>
  <si>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</si>
  <si>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</si>
  <si>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</si>
  <si>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</si>
  <si>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</si>
  <si>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</si>
  <si>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</si>
  <si>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</si>
  <si>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</si>
  <si>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</si>
  <si>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</si>
  <si>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</si>
  <si>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</si>
  <si>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</si>
  <si>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</si>
  <si>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</si>
  <si>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</si>
  <si>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</si>
  <si>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</si>
  <si>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</si>
  <si>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</si>
  <si>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</si>
  <si>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</si>
  <si>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</si>
  <si>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</si>
  <si>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</si>
  <si>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</si>
  <si>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</si>
  <si>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</si>
  <si>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</si>
  <si>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</si>
  <si>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</si>
  <si>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</si>
  <si>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</si>
  <si>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</si>
  <si>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</si>
  <si>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</si>
  <si>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</si>
  <si>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</si>
  <si>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</si>
  <si>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</si>
  <si>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</si>
  <si>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</si>
  <si>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</si>
  <si>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</si>
  <si>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</si>
  <si>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</si>
  <si>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</si>
  <si>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</si>
  <si>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</si>
  <si>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</si>
  <si>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</si>
  <si>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</si>
  <si>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</si>
  <si>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</si>
  <si>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</si>
  <si>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</si>
  <si>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</si>
  <si>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</si>
  <si>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</si>
  <si>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</si>
  <si>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</si>
  <si>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</si>
  <si>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</si>
  <si>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</si>
  <si>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</si>
  <si>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</si>
  <si>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</si>
  <si>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</si>
  <si>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</si>
  <si>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</si>
  <si>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</si>
  <si>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</si>
  <si>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</si>
  <si>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</si>
  <si>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</si>
  <si>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</si>
  <si>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</si>
  <si>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</si>
  <si>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</si>
  <si>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</si>
  <si>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</si>
  <si>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</si>
  <si>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</si>
  <si>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</si>
  <si>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</si>
  <si>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</si>
  <si>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</si>
  <si>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</si>
  <si>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</si>
  <si>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</si>
  <si>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</si>
  <si>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</si>
  <si>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</si>
  <si>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</si>
  <si>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</si>
  <si>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</si>
  <si>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</si>
  <si>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</si>
  <si>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</si>
  <si>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</si>
  <si>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</si>
  <si>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</si>
  <si>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</si>
  <si>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</si>
  <si>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</si>
  <si>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</si>
  <si>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</si>
  <si>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</si>
  <si>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</si>
  <si>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</si>
  <si>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</si>
  <si>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</si>
  <si>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</si>
  <si>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</si>
  <si>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</si>
  <si>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</si>
  <si>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</si>
  <si>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</si>
  <si>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</si>
  <si>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</si>
  <si>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</si>
  <si>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</si>
  <si>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</si>
  <si>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</si>
  <si>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</si>
  <si>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</si>
  <si>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</si>
  <si>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</si>
  <si>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</si>
  <si>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</si>
  <si>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</si>
  <si>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</si>
  <si>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</si>
  <si>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</si>
  <si>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</si>
  <si>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</si>
  <si>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</si>
  <si>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</si>
  <si>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</si>
  <si>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</si>
  <si>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</si>
  <si>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</si>
  <si>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</si>
  <si>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</si>
  <si>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</si>
  <si>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</si>
  <si>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</si>
  <si>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</si>
  <si>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</si>
  <si>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</si>
  <si>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</si>
  <si>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</si>
  <si>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</si>
  <si>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</si>
  <si>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</si>
  <si>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</si>
  <si>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</si>
  <si>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</si>
  <si>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</si>
  <si>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</si>
  <si>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</si>
  <si>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</si>
  <si>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</si>
  <si>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</si>
  <si>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</si>
  <si>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</si>
  <si>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</si>
  <si>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</si>
  <si>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</si>
  <si>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</si>
  <si>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</si>
  <si>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</si>
  <si>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</si>
  <si>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</si>
  <si>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</si>
  <si>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</si>
  <si>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</si>
  <si>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</si>
  <si>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</si>
  <si>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</si>
  <si>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</si>
  <si>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</si>
  <si>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</si>
  <si>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</si>
  <si>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</si>
  <si>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</si>
  <si>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</si>
  <si>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</si>
  <si>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</si>
  <si>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</si>
  <si>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</si>
  <si>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</si>
  <si>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</si>
  <si>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</si>
  <si>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</si>
  <si>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</si>
  <si>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</si>
  <si>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</si>
  <si>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</si>
  <si>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</si>
  <si>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</si>
  <si>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</si>
  <si>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</si>
  <si>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</si>
  <si>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</si>
  <si>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</si>
  <si>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</si>
  <si>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</si>
  <si>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</si>
  <si>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</si>
  <si>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</si>
  <si>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</si>
  <si>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</si>
  <si>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</si>
  <si>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</si>
  <si>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</si>
  <si>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</si>
  <si>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</si>
  <si>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</si>
  <si>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</si>
  <si>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</si>
  <si>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</si>
  <si>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</si>
  <si>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</si>
  <si>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</si>
  <si>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</si>
  <si>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</si>
  <si>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</si>
  <si>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</si>
  <si>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</si>
  <si>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</si>
  <si>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</si>
  <si>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</si>
  <si>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</si>
  <si>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</si>
  <si>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</si>
  <si>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</si>
  <si>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</si>
  <si>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</si>
  <si>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</si>
  <si>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</si>
  <si>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</si>
  <si>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</si>
  <si>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</si>
  <si>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</si>
  <si>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</si>
  <si>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</si>
  <si>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</si>
  <si>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</si>
  <si>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</si>
  <si>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</si>
  <si>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</si>
  <si>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</si>
  <si>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</si>
  <si>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</si>
  <si>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</si>
  <si>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</si>
  <si>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</si>
  <si>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</si>
  <si>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</si>
  <si>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</si>
  <si>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</si>
  <si>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</si>
  <si>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</si>
  <si>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</si>
  <si>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</si>
  <si>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</si>
  <si>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</si>
  <si>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</si>
  <si>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</si>
  <si>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</si>
  <si>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</si>
  <si>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</si>
  <si>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</si>
  <si>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</si>
  <si>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</si>
  <si>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</si>
  <si>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</si>
  <si>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</si>
  <si>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</si>
  <si>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</si>
  <si>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</si>
  <si>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</si>
  <si>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</si>
  <si>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</si>
  <si>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</si>
  <si>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</si>
  <si>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</si>
  <si>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</si>
  <si>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</si>
  <si>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</si>
  <si>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</si>
  <si>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</si>
  <si>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</si>
  <si>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</si>
  <si>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</si>
  <si>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</si>
  <si>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</si>
  <si>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</si>
  <si>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</si>
  <si>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</si>
  <si>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</si>
  <si>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</si>
  <si>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</si>
  <si>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</si>
  <si>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</si>
  <si>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</si>
  <si>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</si>
  <si>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</si>
  <si>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</si>
  <si>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</si>
  <si>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</si>
  <si>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</si>
  <si>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</si>
  <si>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</si>
  <si>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</si>
  <si>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</si>
  <si>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</si>
  <si>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</si>
  <si>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</si>
  <si>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</si>
  <si>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</si>
  <si>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</si>
  <si>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</si>
  <si>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</si>
  <si>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</si>
  <si>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</si>
  <si>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</si>
  <si>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</si>
  <si>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</si>
  <si>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</si>
  <si>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</si>
  <si>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</si>
  <si>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</si>
  <si>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</si>
  <si>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</si>
  <si>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</si>
  <si>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</si>
  <si>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</si>
  <si>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</si>
  <si>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</si>
  <si>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</si>
  <si>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</si>
  <si>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</si>
  <si>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</si>
  <si>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</si>
  <si>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</si>
  <si>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</si>
  <si>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</si>
  <si>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</si>
  <si>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</si>
  <si>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</si>
  <si>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</si>
  <si>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</si>
  <si>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</si>
  <si>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</si>
  <si>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</si>
  <si>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</si>
  <si>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</si>
  <si>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</si>
  <si>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</si>
  <si>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</si>
  <si>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</si>
  <si>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</si>
  <si>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</si>
  <si>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</si>
  <si>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</si>
  <si>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</si>
  <si>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</si>
  <si>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</si>
  <si>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</si>
  <si>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</si>
  <si>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</si>
  <si>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</si>
  <si>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</si>
  <si>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</si>
  <si>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</si>
  <si>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</si>
  <si>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</si>
  <si>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</si>
  <si>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</si>
  <si>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</si>
  <si>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</si>
  <si>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</si>
  <si>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</si>
  <si>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</si>
  <si>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</si>
  <si>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</si>
  <si>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</si>
  <si>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</si>
  <si>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</si>
  <si>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</si>
  <si>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</si>
  <si>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</si>
  <si>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</si>
  <si>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</si>
  <si>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</si>
  <si>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</si>
  <si>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</si>
  <si>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</si>
  <si>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</si>
  <si>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</si>
  <si>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</si>
  <si>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</si>
  <si>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</si>
  <si>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</si>
  <si>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</si>
  <si>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</si>
  <si>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</si>
  <si>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</si>
  <si>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</si>
  <si>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</si>
  <si>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</si>
  <si>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</si>
  <si>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</si>
  <si>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</si>
  <si>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</si>
  <si>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</si>
  <si>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</si>
  <si>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</si>
  <si>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</si>
  <si>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</si>
  <si>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</si>
  <si>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</si>
  <si>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</si>
  <si>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</si>
  <si>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</si>
  <si>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</si>
  <si>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</si>
  <si>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</si>
  <si>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</si>
  <si>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</si>
  <si>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</si>
  <si>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</si>
  <si>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</si>
  <si>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</si>
  <si>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</si>
  <si>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</si>
  <si>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</si>
  <si>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</si>
  <si>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</si>
  <si>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</si>
  <si>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</si>
  <si>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</si>
  <si>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</si>
  <si>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</si>
  <si>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</si>
  <si>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</si>
  <si>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</si>
  <si>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</si>
  <si>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</si>
  <si>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</si>
  <si>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</si>
  <si>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</si>
  <si>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</si>
  <si>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</si>
  <si>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</si>
  <si>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</si>
  <si>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</si>
  <si>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</si>
  <si>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</si>
  <si>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</si>
  <si>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</si>
  <si>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</si>
  <si>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</si>
  <si>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</si>
  <si>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</si>
  <si>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</si>
  <si>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</si>
  <si>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</si>
  <si>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</si>
  <si>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</si>
  <si>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</si>
  <si>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</si>
  <si>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</si>
  <si>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</si>
  <si>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</si>
  <si>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</si>
  <si>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</si>
  <si>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</si>
  <si>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</si>
  <si>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</si>
  <si>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</si>
  <si>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</si>
  <si>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</si>
  <si>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</si>
  <si>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</si>
  <si>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</si>
  <si>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</si>
  <si>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</si>
  <si>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</si>
  <si>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</si>
  <si>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</si>
  <si>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</si>
  <si>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</si>
  <si>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</si>
  <si>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</si>
  <si>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</si>
  <si>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</si>
  <si>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</si>
  <si>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</si>
  <si>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</si>
  <si>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</si>
  <si>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</si>
  <si>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</si>
  <si>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</si>
  <si>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</si>
  <si>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</si>
  <si>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</si>
  <si>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</si>
  <si>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</si>
  <si>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</si>
  <si>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</si>
  <si>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</si>
  <si>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</si>
  <si>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</si>
  <si>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</si>
  <si>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</si>
  <si>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</si>
  <si>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</si>
  <si>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</si>
  <si>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</si>
  <si>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</si>
  <si>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</si>
  <si>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</si>
  <si>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</si>
  <si>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</si>
  <si>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</si>
  <si>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</si>
  <si>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</si>
  <si>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</si>
  <si>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</si>
  <si>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</si>
  <si>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</si>
  <si>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</si>
  <si>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</si>
  <si>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</si>
  <si>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</si>
  <si>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</si>
  <si>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</si>
  <si>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</si>
  <si>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</si>
  <si>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</si>
  <si>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</si>
  <si>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</si>
  <si>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</si>
  <si>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</si>
  <si>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</si>
  <si>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</si>
  <si>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</si>
  <si>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</si>
  <si>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</si>
  <si>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</si>
  <si>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</si>
  <si>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</si>
  <si>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</si>
  <si>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</si>
  <si>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</si>
  <si>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</si>
  <si>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</si>
  <si>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</si>
  <si>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</si>
  <si>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</si>
  <si>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</si>
  <si>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</si>
  <si>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</si>
  <si>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</si>
  <si>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</si>
  <si>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</si>
  <si>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</si>
  <si>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</si>
  <si>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</si>
  <si>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</si>
  <si>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</si>
  <si>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</si>
  <si>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</si>
  <si>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</si>
  <si>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</si>
  <si>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</si>
  <si>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</si>
  <si>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</si>
  <si>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</si>
  <si>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</si>
  <si>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</si>
  <si>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</si>
  <si>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</si>
  <si>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</si>
  <si>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</si>
  <si>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</si>
  <si>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</si>
  <si>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</si>
  <si>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</si>
  <si>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</si>
  <si>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</si>
  <si>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</si>
  <si>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</si>
  <si>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</si>
  <si>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</si>
  <si>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</si>
  <si>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</si>
  <si>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</si>
  <si>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</si>
  <si>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</si>
  <si>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</si>
  <si>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</si>
  <si>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</si>
  <si>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</si>
  <si>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</si>
  <si>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</si>
  <si>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</si>
  <si>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</si>
  <si>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</si>
  <si>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</si>
  <si>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</si>
  <si>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</si>
  <si>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</si>
  <si>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</si>
  <si>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</si>
  <si>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</si>
  <si>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</si>
  <si>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</si>
  <si>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</si>
  <si>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</si>
  <si>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</si>
  <si>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</si>
  <si>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</si>
  <si>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</si>
  <si>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</si>
  <si>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</si>
  <si>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</si>
  <si>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</si>
  <si>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</si>
  <si>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</si>
  <si>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</si>
  <si>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</si>
  <si>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</si>
  <si>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</si>
  <si>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</si>
  <si>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</si>
  <si>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</si>
  <si>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</si>
  <si>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</si>
  <si>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</si>
  <si>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</si>
  <si>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</si>
  <si>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</si>
  <si>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</si>
  <si>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</si>
  <si>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</si>
  <si>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</si>
  <si>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</si>
  <si>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</si>
  <si>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</si>
  <si>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</si>
  <si>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</si>
  <si>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</si>
  <si>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</si>
  <si>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</si>
  <si>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</si>
  <si>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</si>
  <si>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</si>
  <si>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</si>
  <si>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</si>
  <si>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</si>
  <si>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</si>
  <si>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</si>
  <si>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</si>
  <si>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</si>
  <si>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</si>
  <si>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</si>
  <si>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</si>
  <si>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</si>
  <si>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</si>
  <si>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</si>
  <si>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</si>
  <si>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</si>
  <si>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</si>
  <si>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</si>
  <si>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</si>
  <si>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</si>
  <si>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</si>
  <si>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</si>
  <si>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</si>
  <si>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</si>
  <si>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</si>
  <si>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</si>
  <si>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</si>
  <si>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</si>
  <si>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</si>
  <si>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</si>
  <si>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</si>
  <si>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</si>
  <si>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</si>
  <si>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</si>
  <si>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</si>
  <si>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</si>
  <si>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</si>
  <si>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</si>
  <si>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</si>
  <si>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</si>
  <si>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</si>
  <si>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</si>
  <si>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</si>
  <si>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</si>
  <si>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</si>
  <si>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</si>
  <si>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</si>
  <si>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</si>
  <si>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</si>
  <si>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</si>
  <si>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</si>
  <si>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</si>
  <si>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</si>
  <si>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</si>
  <si>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</si>
  <si>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</si>
  <si>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</si>
  <si>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</si>
  <si>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</si>
  <si>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</si>
  <si>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</si>
  <si>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</si>
  <si>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</si>
  <si>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</si>
  <si>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</si>
  <si>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</si>
  <si>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</si>
  <si>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</si>
  <si>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</si>
  <si>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</si>
  <si>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</si>
  <si>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</si>
  <si>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</si>
  <si>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</si>
  <si>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</si>
  <si>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</si>
  <si>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</si>
  <si>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</si>
  <si>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</si>
  <si>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</si>
  <si>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</si>
  <si>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</si>
  <si>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</si>
  <si>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</si>
  <si>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</si>
  <si>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</si>
  <si>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</si>
  <si>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</si>
  <si>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</si>
  <si>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</si>
  <si>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</si>
  <si>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</si>
  <si>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</si>
  <si>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</si>
  <si>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</si>
  <si>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</si>
  <si>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</si>
  <si>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</si>
  <si>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</si>
  <si>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</si>
  <si>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</si>
  <si>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</si>
  <si>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</si>
  <si>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</si>
  <si>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</si>
  <si>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</si>
  <si>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</si>
  <si>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</si>
  <si>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</si>
  <si>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</si>
  <si>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</si>
  <si>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</si>
  <si>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</si>
  <si>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</si>
  <si>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</si>
  <si>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</si>
  <si>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</si>
  <si>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</si>
  <si>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</si>
  <si>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</si>
  <si>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</si>
  <si>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</si>
  <si>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</si>
  <si>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</si>
  <si>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</si>
  <si>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</si>
  <si>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</si>
  <si>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</si>
  <si>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</si>
  <si>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</si>
  <si>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</si>
  <si>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</si>
  <si>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</si>
  <si>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</si>
  <si>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</si>
  <si>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</si>
  <si>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</si>
  <si>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</si>
  <si>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</si>
  <si>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</si>
  <si>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</si>
  <si>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</si>
  <si>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</si>
  <si>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</si>
  <si>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</si>
  <si>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</si>
  <si>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</si>
  <si>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</si>
  <si>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</si>
  <si>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</si>
  <si>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</si>
  <si>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</si>
  <si>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</si>
  <si>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</si>
  <si>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</si>
  <si>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</si>
  <si>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</si>
  <si>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</si>
  <si>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</si>
  <si>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</si>
  <si>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</si>
  <si>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</si>
  <si>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Total Amount</t>
  </si>
  <si>
    <t>Total Duration</t>
  </si>
  <si>
    <t>Avg.Rating</t>
  </si>
  <si>
    <t>5*Calls</t>
  </si>
  <si>
    <t>Call Count</t>
  </si>
  <si>
    <t>a</t>
  </si>
  <si>
    <t>d</t>
  </si>
  <si>
    <t>avg</t>
  </si>
  <si>
    <t>5*</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</si>
  <si>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</si>
  <si>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</si>
  <si>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</si>
  <si>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</si>
  <si>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</si>
  <si>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</si>
  <si>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</si>
  <si>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</si>
  <si>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</si>
  <si>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</si>
  <si>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</si>
  <si>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</si>
  <si>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</si>
  <si>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</si>
  <si>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</si>
  <si>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</si>
  <si>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</si>
  <si>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</si>
  <si>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</si>
  <si>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</si>
  <si>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</si>
  <si>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</si>
  <si>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Amount</t>
  </si>
  <si>
    <t>Calls</t>
  </si>
  <si>
    <t>Reps</t>
  </si>
  <si>
    <t>sel.call</t>
  </si>
  <si>
    <t>sel.amount</t>
  </si>
  <si>
    <t>for graph</t>
  </si>
  <si>
    <t>selected rep</t>
  </si>
  <si>
    <t>Column Labels</t>
  </si>
  <si>
    <t>Total</t>
  </si>
  <si>
    <t>%of calls</t>
  </si>
  <si>
    <t>call rank</t>
  </si>
  <si>
    <t>amount rank</t>
  </si>
  <si>
    <t>calls</t>
  </si>
  <si>
    <t>amount</t>
  </si>
  <si>
    <r>
      <t>Call Center Report</t>
    </r>
    <r>
      <rPr>
        <sz val="24"/>
        <color theme="5" tint="-0.499984740745262"/>
        <rFont val="Aptos"/>
        <family val="2"/>
        <scheme val="minor"/>
      </rPr>
      <t>-2023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</si>
</sst>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0,&quot;k&quot;"/>
    <numFmt numFmtId="168" formatCode="\$#,###.0,&quot;K&quot;"/>
    <numFmt numFmtId="169" formatCode="[$$-2809]#,##0"/>
  </numFmts>
  <fonts count="13"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5" tint="-0.499984740745262"/>
      <name val="Aptos"/>
      <family val="2"/>
      <scheme val="minor"/>
    </font>
    <font>
      <sz val="10"/>
      <color theme="5" tint="-0.499984740745262"/>
      <name val="Aptos"/>
      <family val="2"/>
      <scheme val="minor"/>
    </font>
    <font>
      <b/>
      <sz val="11"/>
      <color theme="5" tint="-0.499984740745262"/>
      <name val="Aptos"/>
      <family val="2"/>
      <scheme val="minor"/>
    </font>
    <font>
      <sz val="12"/>
      <color theme="5" tint="-0.499984740745262"/>
      <name val="Aptos ExtraBold"/>
      <family val="2"/>
      <scheme val="major"/>
    </font>
    <font>
      <sz val="11"/>
      <color theme="1"/>
      <name val="Aptos"/>
      <family val="2"/>
      <scheme val="minor"/>
    </font>
    <font>
      <sz val="20"/>
      <color theme="1"/>
      <name val="Aptos"/>
      <family val="2"/>
      <scheme val="minor"/>
    </font>
    <font>
      <sz val="24"/>
      <color theme="5" tint="-0.499984740745262"/>
      <name val="Aptos ExtraBold"/>
      <family val="2"/>
      <scheme val="major"/>
    </font>
    <font>
      <sz val="24"/>
      <color theme="5" tint="-0.499984740745262"/>
      <name val="Aptos"/>
      <family val="2"/>
      <scheme val="minor"/>
    </font>
    <font>
      <sz val="24"/>
      <color theme="1"/>
      <name val="Aptos"/>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s>
  <cellStyleXfs count="2">
    <xf numFmtId="0" fontId="0" fillId="0" borderId="0"/>
    <xf numFmtId="9" fontId="8" fillId="0" borderId="0" applyFont="0" applyFill="0" applyBorder="0" applyAlignment="0" applyProtection="0"/>
  </cellStyleXfs>
  <cellXfs count="50">
    <xf numFmtId="0" fontId="0" fillId="0" borderId="0" xfId="0"/>
    <xf numFmtId="9" fontId="0" fillId="0" borderId="0" xfId="0" applyNumberFormat="1"/>
    <xf numFmtId="0" fontId="0" fillId="0" borderId="1" xfId="0" applyBorder="1"/>
    <xf numFmtId="9"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2" borderId="0" xfId="0" applyFill="1"/>
    <xf numFmtId="0" fontId="3" fillId="3" borderId="0" xfId="0" applyFont="1" applyFill="1" applyAlignment="1">
      <alignment vertical="center"/>
    </xf>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0" borderId="0" xfId="0" applyAlignment="1">
      <alignment horizontal="left" indent="1"/>
    </xf>
    <xf numFmtId="0" fontId="0" fillId="5" borderId="0" xfId="0" applyFill="1"/>
    <xf numFmtId="169" fontId="5" fillId="5" borderId="0" xfId="0" applyNumberFormat="1" applyFont="1" applyFill="1"/>
    <xf numFmtId="0" fontId="0" fillId="5" borderId="9" xfId="0" applyFill="1" applyBorder="1"/>
    <xf numFmtId="0" fontId="6" fillId="5" borderId="10" xfId="0" applyFont="1" applyFill="1" applyBorder="1" applyAlignment="1">
      <alignment horizontal="center"/>
    </xf>
    <xf numFmtId="0" fontId="6" fillId="5" borderId="7" xfId="0" applyFont="1" applyFill="1" applyBorder="1" applyAlignment="1">
      <alignment horizontal="center"/>
    </xf>
    <xf numFmtId="0" fontId="7" fillId="5" borderId="11" xfId="0" applyFont="1" applyFill="1" applyBorder="1"/>
    <xf numFmtId="0" fontId="0" fillId="5" borderId="13" xfId="0" applyFill="1" applyBorder="1"/>
    <xf numFmtId="0" fontId="4" fillId="5" borderId="11" xfId="0" applyFont="1" applyFill="1" applyBorder="1"/>
    <xf numFmtId="169" fontId="5" fillId="5" borderId="13" xfId="0" applyNumberFormat="1" applyFont="1" applyFill="1" applyBorder="1"/>
    <xf numFmtId="0" fontId="4" fillId="5" borderId="6" xfId="0" applyFont="1" applyFill="1" applyBorder="1"/>
    <xf numFmtId="169" fontId="5" fillId="5" borderId="12" xfId="0" applyNumberFormat="1" applyFont="1" applyFill="1" applyBorder="1"/>
    <xf numFmtId="169" fontId="5" fillId="5" borderId="4" xfId="0" applyNumberFormat="1" applyFont="1" applyFill="1" applyBorder="1"/>
    <xf numFmtId="9" fontId="0" fillId="0" borderId="0" xfId="1" applyFont="1"/>
    <xf numFmtId="0" fontId="9" fillId="2" borderId="0" xfId="0" applyFont="1" applyFill="1"/>
    <xf numFmtId="0" fontId="10" fillId="2" borderId="0" xfId="0" applyFont="1" applyFill="1"/>
    <xf numFmtId="0" fontId="12" fillId="2" borderId="0" xfId="0" applyFont="1" applyFill="1"/>
    <xf numFmtId="0" fontId="0" fillId="2" borderId="0" xfId="0" applyFill="1" applyAlignment="1">
      <alignment horizontal="center"/>
    </xf>
    <xf numFmtId="0" fontId="7" fillId="2" borderId="0" xfId="0" applyFont="1" applyFill="1" applyAlignment="1">
      <alignment horizontal="center"/>
    </xf>
    <xf numFmtId="0" fontId="0" fillId="2" borderId="0" xfId="0" applyFill="1"/>
    <xf numFmtId="0" fontId="0" fillId="4" borderId="0" xfId="0" applyFont="1" applyFill="1" applyAlignment="1">
      <alignment horizontal="left"/>
    </xf>
  </cellXfs>
  <cellStyles count="2">
    <cellStyle name="Normal" xfId="0" builtinId="0"/>
    <cellStyle name="Percent" xfId="1" builtinId="5"/>
  </cellStyles>
  <dxfs count="20">
    <dxf>
      <fill>
        <patternFill>
          <bgColor theme="9" tint="0.79998168889431442"/>
        </patternFill>
      </fill>
      <border>
        <left style="thin">
          <color theme="9" tint="-0.499984740745262"/>
        </left>
        <right style="thin">
          <color theme="9" tint="-0.499984740745262"/>
        </right>
        <vertical/>
        <horizontal/>
      </border>
    </dxf>
    <dxf>
      <font>
        <color theme="1"/>
      </font>
    </dxf>
    <dxf>
      <fill>
        <patternFill patternType="solid">
          <bgColor theme="5"/>
        </patternFill>
      </fill>
    </dxf>
    <dxf>
      <font>
        <color theme="5"/>
      </font>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theme="5" tint="-0.499984740745262"/>
        <name val="Aptos ExtraBold"/>
        <family val="2"/>
        <scheme val="major"/>
      </font>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 Style 2" pivot="0" table="0" count="1" xr9:uid="{18968DC2-3A1D-4A76-833B-E512972B1E23}">
      <tableStyleElement type="wholeTable" dxfId="18"/>
    </tableStyle>
  </tableStyles>
  <colors>
    <mruColors>
      <color rgb="FF585858"/>
      <color rgb="FF04ACAC"/>
    </mruColors>
  </colors>
  <extLst>
    <ext xmlns:x14="http://schemas.microsoft.com/office/spreadsheetml/2009/9/main" uri="{EB79DEF2-80B8-43e5-95BD-54CBDDF9020C}">
      <x14:slicerStyles defaultSlicerStyle="SlicerStyleLight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2">
                    <a:lumMod val="50000"/>
                  </a:schemeClr>
                </a:solidFill>
                <a:latin typeface="+mj-lt"/>
                <a:ea typeface="+mn-ea"/>
                <a:cs typeface="+mn-cs"/>
              </a:defRPr>
            </a:pPr>
            <a:r>
              <a:rPr lang="en-IN" sz="1600">
                <a:solidFill>
                  <a:schemeClr val="accent2">
                    <a:lumMod val="50000"/>
                  </a:schemeClr>
                </a:solidFill>
                <a:latin typeface="+mj-lt"/>
              </a:rPr>
              <a:t>Amount</a:t>
            </a:r>
          </a:p>
        </c:rich>
      </c:tx>
      <c:layout>
        <c:manualLayout>
          <c:xMode val="edge"/>
          <c:yMode val="edge"/>
          <c:x val="3.6238532110091738E-2"/>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50000"/>
                </a:schemeClr>
              </a:solidFill>
              <a:latin typeface="+mj-lt"/>
              <a:ea typeface="+mn-ea"/>
              <a:cs typeface="+mn-cs"/>
            </a:defRPr>
          </a:pPr>
          <a:endParaRPr lang="en-US"/>
        </a:p>
      </c:txPr>
    </c:title>
    <c:autoTitleDeleted val="0"/>
    <c:plotArea>
      <c:layout>
        <c:manualLayout>
          <c:layoutTarget val="inner"/>
          <c:xMode val="edge"/>
          <c:yMode val="edge"/>
          <c:x val="6.5011820330969264E-2"/>
          <c:y val="0.15877525851437246"/>
          <c:w val="0.8699763593380615"/>
          <c:h val="0.79704803465831831"/>
        </c:manualLayout>
      </c:layout>
      <c:barChart>
        <c:barDir val="bar"/>
        <c:grouping val="clustered"/>
        <c:varyColors val="0"/>
        <c:ser>
          <c:idx val="0"/>
          <c:order val="0"/>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A4B-45AE-B72F-C9DF54B4BD0C}"/>
            </c:ext>
          </c:extLst>
        </c:ser>
        <c:ser>
          <c:idx val="1"/>
          <c:order val="1"/>
          <c:tx>
            <c:strRef>
              <c:f>pivots!$J$52</c:f>
              <c:strCache>
                <c:ptCount val="1"/>
                <c:pt idx="0">
                  <c:v>sel.amount</c:v>
                </c:pt>
              </c:strCache>
            </c:strRef>
          </c:tx>
          <c:spPr>
            <a:gradFill>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60000"/>
                    <a:lumOff val="40000"/>
                  </a:schemeClr>
                </a:gs>
              </a:gsLst>
              <a:lin ang="2700000" scaled="1"/>
            </a:gradFill>
            <a:ln>
              <a:noFill/>
            </a:ln>
            <a:effectLst/>
          </c:spPr>
          <c:invertIfNegative val="0"/>
          <c:dLbls>
            <c:delete val="1"/>
          </c:dLbls>
          <c:val>
            <c:numRef>
              <c:f>pivots!$J$53:$J$57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6A4B-45AE-B72F-C9DF54B4BD0C}"/>
            </c:ext>
          </c:extLst>
        </c:ser>
        <c:dLbls>
          <c:dLblPos val="outEnd"/>
          <c:showLegendKey val="0"/>
          <c:showVal val="1"/>
          <c:showCatName val="0"/>
          <c:showSerName val="0"/>
          <c:showPercent val="0"/>
          <c:showBubbleSize val="0"/>
        </c:dLbls>
        <c:gapWidth val="25"/>
        <c:overlap val="100"/>
        <c:axId val="1584670720"/>
        <c:axId val="1584671200"/>
      </c:barChart>
      <c:catAx>
        <c:axId val="1584670720"/>
        <c:scaling>
          <c:orientation val="maxMin"/>
        </c:scaling>
        <c:delete val="1"/>
        <c:axPos val="l"/>
        <c:numFmt formatCode="General" sourceLinked="1"/>
        <c:majorTickMark val="out"/>
        <c:minorTickMark val="none"/>
        <c:tickLblPos val="nextTo"/>
        <c:crossAx val="1584671200"/>
        <c:crosses val="autoZero"/>
        <c:auto val="1"/>
        <c:lblAlgn val="ctr"/>
        <c:lblOffset val="100"/>
        <c:noMultiLvlLbl val="0"/>
      </c:catAx>
      <c:valAx>
        <c:axId val="1584671200"/>
        <c:scaling>
          <c:orientation val="minMax"/>
        </c:scaling>
        <c:delete val="1"/>
        <c:axPos val="t"/>
        <c:numFmt formatCode="\$#,###.0,&quot;K&quot;" sourceLinked="1"/>
        <c:majorTickMark val="none"/>
        <c:minorTickMark val="none"/>
        <c:tickLblPos val="nextTo"/>
        <c:crossAx val="15846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[project1.xlsx]pivots!PivotTable4</c:name>
    <c:fmtId val="2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80776660343203"/>
          <c:y val="0.12155597186039477"/>
          <c:w val="0.60619223339656803"/>
          <c:h val="0.85449735449735453"/>
        </c:manualLayout>
      </c:layout>
      <c:barChart>
        <c:barDir val="bar"/>
        <c:grouping val="stacked"/>
        <c:varyColors val="0"/>
        <c:ser>
          <c:idx val="0"/>
          <c:order val="0"/>
          <c:tx>
            <c:strRef>
              <c:f>pivots!$F$20</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pivots!$E$21:$E$28</c:f>
              <c:strCache>
                <c:ptCount val="7"/>
                <c:pt idx="0">
                  <c:v>Sunday</c:v>
                </c:pt>
                <c:pt idx="1">
                  <c:v>Monday</c:v>
                </c:pt>
                <c:pt idx="2">
                  <c:v>Tuesday</c:v>
                </c:pt>
                <c:pt idx="3">
                  <c:v>Wednesday</c:v>
                </c:pt>
                <c:pt idx="4">
                  <c:v>Thursday</c:v>
                </c:pt>
                <c:pt idx="5">
                  <c:v>Friday</c:v>
                </c:pt>
                <c:pt idx="6">
                  <c:v>Saturday</c:v>
                </c:pt>
              </c:strCache>
            </c:strRef>
          </c:cat>
          <c:val>
            <c:numRef>
              <c:f>pivots!$F$21:$F$28</c:f>
              <c:numCache>
                <c:formatCode>#,##0</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5237-4CC6-84EC-8F9C426E5531}"/>
            </c:ext>
          </c:extLst>
        </c:ser>
        <c:dLbls>
          <c:showLegendKey val="0"/>
          <c:showVal val="1"/>
          <c:showCatName val="0"/>
          <c:showSerName val="0"/>
          <c:showPercent val="0"/>
          <c:showBubbleSize val="0"/>
        </c:dLbls>
        <c:gapWidth val="50"/>
        <c:overlap val="100"/>
        <c:axId val="1877098575"/>
        <c:axId val="1877099535"/>
      </c:barChart>
      <c:catAx>
        <c:axId val="1877098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877099535"/>
        <c:crosses val="autoZero"/>
        <c:auto val="1"/>
        <c:lblAlgn val="ctr"/>
        <c:lblOffset val="100"/>
        <c:noMultiLvlLbl val="0"/>
      </c:catAx>
      <c:valAx>
        <c:axId val="1877099535"/>
        <c:scaling>
          <c:orientation val="minMax"/>
        </c:scaling>
        <c:delete val="1"/>
        <c:axPos val="b"/>
        <c:numFmt formatCode="#,##0" sourceLinked="1"/>
        <c:majorTickMark val="out"/>
        <c:minorTickMark val="none"/>
        <c:tickLblPos val="nextTo"/>
        <c:crossAx val="187709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[project1.xlsx]pivots!PivotTable1</c:name>
    <c:fmtId val="2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IN" sz="1800">
                <a:solidFill>
                  <a:schemeClr val="accent6">
                    <a:lumMod val="75000"/>
                  </a:schemeClr>
                </a:solidFill>
                <a:latin typeface="+mj-lt"/>
              </a:rPr>
              <a:t>Call</a:t>
            </a:r>
            <a:r>
              <a:rPr lang="en-IN" sz="1800" baseline="0">
                <a:solidFill>
                  <a:schemeClr val="accent6">
                    <a:lumMod val="75000"/>
                  </a:schemeClr>
                </a:solidFill>
                <a:latin typeface="+mj-lt"/>
              </a:rPr>
              <a:t> Trend</a:t>
            </a:r>
            <a:endParaRPr lang="en-IN" sz="1800">
              <a:solidFill>
                <a:schemeClr val="accent6">
                  <a:lumMod val="75000"/>
                </a:schemeClr>
              </a:solidFill>
              <a:latin typeface="+mj-lt"/>
            </a:endParaRPr>
          </a:p>
        </c:rich>
      </c:tx>
      <c:layout>
        <c:manualLayout>
          <c:xMode val="edge"/>
          <c:yMode val="edge"/>
          <c:x val="2.152777777777777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4000">
                <a:schemeClr val="accent2">
                  <a:lumMod val="20000"/>
                  <a:lumOff val="80000"/>
                  <a:alpha val="80000"/>
                </a:schemeClr>
              </a:gs>
              <a:gs pos="100000">
                <a:schemeClr val="accent6">
                  <a:lumMod val="60000"/>
                  <a:lumOff val="40000"/>
                </a:schemeClr>
              </a:gs>
            </a:gsLst>
            <a:lin ang="16200000" scaled="1"/>
            <a:tileRect/>
          </a:gra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6"/>
          <c:spPr>
            <a:solidFill>
              <a:schemeClr val="bg1"/>
            </a:solidFill>
            <a:ln w="25400">
              <a:solidFill>
                <a:schemeClr val="bg2">
                  <a:lumMod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6"/>
          <c:spPr>
            <a:solidFill>
              <a:schemeClr val="bg1"/>
            </a:solidFill>
            <a:ln w="25400">
              <a:solidFill>
                <a:schemeClr val="bg2">
                  <a:lumMod val="25000"/>
                </a:schemeClr>
              </a:solidFill>
            </a:ln>
            <a:effectLst/>
          </c:spPr>
        </c:marker>
      </c:pivotFmt>
    </c:pivotFmts>
    <c:plotArea>
      <c:layout/>
      <c:areaChart>
        <c:grouping val="standard"/>
        <c:varyColors val="0"/>
        <c:ser>
          <c:idx val="1"/>
          <c:order val="1"/>
          <c:tx>
            <c:strRef>
              <c:f>pivots!$C$20</c:f>
              <c:strCache>
                <c:ptCount val="1"/>
                <c:pt idx="0">
                  <c:v>Call Count2</c:v>
                </c:pt>
              </c:strCache>
            </c:strRef>
          </c:tx>
          <c:spPr>
            <a:gradFill flip="none" rotWithShape="1">
              <a:gsLst>
                <a:gs pos="4000">
                  <a:schemeClr val="accent2">
                    <a:lumMod val="20000"/>
                    <a:lumOff val="80000"/>
                    <a:alpha val="80000"/>
                  </a:schemeClr>
                </a:gs>
                <a:gs pos="100000">
                  <a:schemeClr val="accent6">
                    <a:lumMod val="60000"/>
                    <a:lumOff val="40000"/>
                  </a:schemeClr>
                </a:gs>
              </a:gsLst>
              <a:lin ang="16200000" scaled="1"/>
              <a:tileRect/>
            </a:gradFill>
            <a:ln>
              <a:solidFill>
                <a:schemeClr val="accent1"/>
              </a:solid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A48C-49DA-A6B0-A37A8D2C42F2}"/>
            </c:ext>
          </c:extLst>
        </c:ser>
        <c:dLbls>
          <c:showLegendKey val="0"/>
          <c:showVal val="0"/>
          <c:showCatName val="0"/>
          <c:showSerName val="0"/>
          <c:showPercent val="0"/>
          <c:showBubbleSize val="0"/>
        </c:dLbls>
        <c:axId val="1179826639"/>
        <c:axId val="1179810319"/>
      </c:areaChart>
      <c:lineChart>
        <c:grouping val="standard"/>
        <c:varyColors val="0"/>
        <c:ser>
          <c:idx val="0"/>
          <c:order val="0"/>
          <c:tx>
            <c:strRef>
              <c:f>pivots!$B$20</c:f>
              <c:strCache>
                <c:ptCount val="1"/>
                <c:pt idx="0">
                  <c:v>Call Count</c:v>
                </c:pt>
              </c:strCache>
            </c:strRef>
          </c:tx>
          <c:spPr>
            <a:ln w="28575" cap="rnd">
              <a:solidFill>
                <a:schemeClr val="accent6"/>
              </a:solidFill>
              <a:round/>
            </a:ln>
            <a:effectLst/>
          </c:spPr>
          <c:marker>
            <c:symbol val="circle"/>
            <c:size val="6"/>
            <c:spPr>
              <a:solidFill>
                <a:schemeClr val="bg1"/>
              </a:solidFill>
              <a:ln w="25400">
                <a:solidFill>
                  <a:schemeClr val="bg2">
                    <a:lumMod val="25000"/>
                  </a:schemeClr>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A48C-49DA-A6B0-A37A8D2C42F2}"/>
            </c:ext>
          </c:extLst>
        </c:ser>
        <c:dLbls>
          <c:showLegendKey val="0"/>
          <c:showVal val="0"/>
          <c:showCatName val="0"/>
          <c:showSerName val="0"/>
          <c:showPercent val="0"/>
          <c:showBubbleSize val="0"/>
        </c:dLbls>
        <c:marker val="1"/>
        <c:smooth val="0"/>
        <c:axId val="1179826639"/>
        <c:axId val="1179810319"/>
      </c:lineChart>
      <c:catAx>
        <c:axId val="117982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79810319"/>
        <c:crosses val="autoZero"/>
        <c:auto val="1"/>
        <c:lblAlgn val="ctr"/>
        <c:lblOffset val="100"/>
        <c:noMultiLvlLbl val="0"/>
      </c:catAx>
      <c:valAx>
        <c:axId val="11798103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17982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2">
                    <a:lumMod val="50000"/>
                  </a:schemeClr>
                </a:solidFill>
                <a:latin typeface="+mj-lt"/>
                <a:ea typeface="+mn-ea"/>
                <a:cs typeface="+mn-cs"/>
              </a:defRPr>
            </a:pPr>
            <a:r>
              <a:rPr lang="en-IN" sz="1600">
                <a:solidFill>
                  <a:schemeClr val="accent2">
                    <a:lumMod val="50000"/>
                  </a:schemeClr>
                </a:solidFill>
                <a:latin typeface="+mj-lt"/>
              </a:rPr>
              <a:t>Call</a:t>
            </a:r>
          </a:p>
        </c:rich>
      </c:tx>
      <c:layout>
        <c:manualLayout>
          <c:xMode val="edge"/>
          <c:yMode val="edge"/>
          <c:x val="3.7134502923976576E-2"/>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2">
                  <a:lumMod val="50000"/>
                </a:schemeClr>
              </a:solidFill>
              <a:latin typeface="+mj-lt"/>
              <a:ea typeface="+mn-ea"/>
              <a:cs typeface="+mn-cs"/>
            </a:defRPr>
          </a:pPr>
          <a:endParaRPr lang="en-US"/>
        </a:p>
      </c:txPr>
    </c:title>
    <c:autoTitleDeleted val="0"/>
    <c:plotArea>
      <c:layout>
        <c:manualLayout>
          <c:layoutTarget val="inner"/>
          <c:xMode val="edge"/>
          <c:yMode val="edge"/>
          <c:x val="0.19061887147022577"/>
          <c:y val="0.15387272168955832"/>
          <c:w val="0.75557481431408013"/>
          <c:h val="0.80331462488821825"/>
        </c:manualLayout>
      </c:layout>
      <c:barChart>
        <c:barDir val="bar"/>
        <c:grouping val="clustered"/>
        <c:varyColors val="0"/>
        <c:ser>
          <c:idx val="0"/>
          <c:order val="0"/>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5F6-445C-956D-400C5E66E2D3}"/>
            </c:ext>
          </c:extLst>
        </c:ser>
        <c:ser>
          <c:idx val="1"/>
          <c:order val="1"/>
          <c:tx>
            <c:strRef>
              <c:f>pivots!$I$52</c:f>
              <c:strCache>
                <c:ptCount val="1"/>
                <c:pt idx="0">
                  <c:v>sel.call</c:v>
                </c:pt>
              </c:strCache>
            </c:strRef>
          </c:tx>
          <c:spPr>
            <a:gradFill flip="none" rotWithShape="1">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40000"/>
                    <a:lumOff val="6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pivots!$I$53:$I$57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B5F6-445C-956D-400C5E66E2D3}"/>
            </c:ext>
          </c:extLst>
        </c:ser>
        <c:dLbls>
          <c:dLblPos val="outEnd"/>
          <c:showLegendKey val="0"/>
          <c:showVal val="1"/>
          <c:showCatName val="0"/>
          <c:showSerName val="0"/>
          <c:showPercent val="0"/>
          <c:showBubbleSize val="0"/>
        </c:dLbls>
        <c:gapWidth val="25"/>
        <c:overlap val="100"/>
        <c:axId val="1584670720"/>
        <c:axId val="1584671200"/>
      </c:barChart>
      <c:catAx>
        <c:axId val="158467072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584671200"/>
        <c:crosses val="autoZero"/>
        <c:auto val="1"/>
        <c:lblAlgn val="ctr"/>
        <c:lblOffset val="100"/>
        <c:noMultiLvlLbl val="0"/>
      </c:catAx>
      <c:valAx>
        <c:axId val="1584671200"/>
        <c:scaling>
          <c:orientation val="minMax"/>
          <c:min val="0"/>
        </c:scaling>
        <c:delete val="1"/>
        <c:axPos val="t"/>
        <c:numFmt formatCode="General" sourceLinked="1"/>
        <c:majorTickMark val="none"/>
        <c:minorTickMark val="none"/>
        <c:tickLblPos val="nextTo"/>
        <c:crossAx val="15846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lumMod val="40000"/>
                    <a:lumOff val="60000"/>
                  </a:schemeClr>
                </a:solidFill>
                <a:latin typeface="+mj-lt"/>
              </a:rPr>
              <a:t>Female</a:t>
            </a:r>
            <a:r>
              <a:rPr lang="en-IN" baseline="0"/>
              <a:t> </a:t>
            </a:r>
            <a:r>
              <a:rPr lang="en-IN" sz="1600" b="1" baseline="0">
                <a:solidFill>
                  <a:schemeClr val="accent2">
                    <a:lumMod val="50000"/>
                  </a:schemeClr>
                </a:solidFill>
                <a:latin typeface="+mj-lt"/>
              </a:rPr>
              <a:t>vs </a:t>
            </a:r>
            <a:r>
              <a:rPr lang="en-IN" sz="1600" b="1" baseline="0">
                <a:solidFill>
                  <a:schemeClr val="accent2">
                    <a:lumMod val="40000"/>
                    <a:lumOff val="60000"/>
                  </a:schemeClr>
                </a:solidFill>
                <a:latin typeface="+mj-lt"/>
              </a:rPr>
              <a:t>Male</a:t>
            </a:r>
            <a:r>
              <a:rPr lang="en-IN" sz="1600" b="1" baseline="0">
                <a:latin typeface="+mj-lt"/>
              </a:rPr>
              <a:t> </a:t>
            </a:r>
            <a:endParaRPr lang="en-IN" b="1">
              <a:solidFill>
                <a:schemeClr val="accent2">
                  <a:lumMod val="50000"/>
                </a:schemeClr>
              </a:solidFill>
              <a:latin typeface="+mj-lt"/>
            </a:endParaRPr>
          </a:p>
        </c:rich>
      </c:tx>
      <c:layout>
        <c:manualLayout>
          <c:xMode val="edge"/>
          <c:yMode val="edge"/>
          <c:x val="1.300054739146912E-3"/>
          <c:y val="8.77654863694185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c:spPr>
      </c:pivotFmt>
      <c:pivotFmt>
        <c:idx val="3"/>
        <c:spPr>
          <a:solidFill>
            <a:schemeClr val="accent6">
              <a:lumMod val="20000"/>
              <a:lumOff val="80000"/>
            </a:schemeClr>
          </a:solidFill>
          <a:ln>
            <a:noFill/>
          </a:ln>
          <a:effectLst/>
        </c:spPr>
      </c:pivotFmt>
      <c:pivotFmt>
        <c:idx val="4"/>
        <c:spPr>
          <a:solidFill>
            <a:schemeClr val="accent6">
              <a:lumMod val="20000"/>
              <a:lumOff val="80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20000"/>
              <a:lumOff val="80000"/>
            </a:schemeClr>
          </a:solidFill>
          <a:ln>
            <a:noFill/>
          </a:ln>
          <a:effectLst/>
        </c:spPr>
      </c:pivotFmt>
      <c:pivotFmt>
        <c:idx val="7"/>
        <c:spPr>
          <a:solidFill>
            <a:schemeClr val="accent6">
              <a:lumMod val="20000"/>
              <a:lumOff val="80000"/>
            </a:schemeClr>
          </a:solidFill>
          <a:ln>
            <a:noFill/>
          </a:ln>
          <a:effectLst/>
        </c:spPr>
      </c:pivotFmt>
      <c:pivotFmt>
        <c:idx val="8"/>
        <c:spPr>
          <a:solidFill>
            <a:schemeClr val="accent6">
              <a:lumMod val="20000"/>
              <a:lumOff val="80000"/>
            </a:schemeClr>
          </a:solidFill>
          <a:ln>
            <a:noFill/>
          </a:ln>
          <a:effectLst/>
        </c:spPr>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c:spPr>
      </c:pivotFmt>
      <c:pivotFmt>
        <c:idx val="12"/>
        <c:spPr>
          <a:solidFill>
            <a:schemeClr val="accent6">
              <a:lumMod val="20000"/>
              <a:lumOff val="80000"/>
            </a:schemeClr>
          </a:solidFill>
          <a:ln>
            <a:noFill/>
          </a:ln>
          <a:effectLst/>
        </c:spPr>
      </c:pivotFmt>
      <c:pivotFmt>
        <c:idx val="13"/>
        <c:spPr>
          <a:solidFill>
            <a:schemeClr val="accent6">
              <a:lumMod val="20000"/>
              <a:lumOff val="80000"/>
            </a:schemeClr>
          </a:solidFill>
          <a:ln>
            <a:noFill/>
          </a:ln>
          <a:effectLst/>
        </c:spPr>
      </c:pivotFmt>
      <c:pivotFmt>
        <c:idx val="1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212187817013672"/>
          <c:w val="0.90196078431372551"/>
          <c:h val="0.67024499621596378"/>
        </c:manualLayout>
      </c:layout>
      <c:barChart>
        <c:barDir val="col"/>
        <c:grouping val="percentStacked"/>
        <c:varyColors val="0"/>
        <c:ser>
          <c:idx val="0"/>
          <c:order val="0"/>
          <c:tx>
            <c:strRef>
              <c:f>pivots!$B$75:$B$76</c:f>
              <c:strCache>
                <c:ptCount val="1"/>
                <c:pt idx="0">
                  <c:v>Female</c:v>
                </c:pt>
              </c:strCache>
            </c:strRef>
          </c:tx>
          <c:spPr>
            <a:solidFill>
              <a:schemeClr val="accent6">
                <a:lumMod val="20000"/>
                <a:lumOff val="80000"/>
              </a:schemeClr>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2597-4DD1-97AE-92FD83300E8B}"/>
              </c:ext>
            </c:extLst>
          </c:dPt>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3-2597-4DD1-97AE-92FD83300E8B}"/>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2597-4DD1-97AE-92FD83300E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pivots!$A$77:$A$80</c:f>
              <c:strCache>
                <c:ptCount val="3"/>
                <c:pt idx="0">
                  <c:v>Cincinnati</c:v>
                </c:pt>
                <c:pt idx="1">
                  <c:v>Cleveland</c:v>
                </c:pt>
                <c:pt idx="2">
                  <c:v>Columbus</c:v>
                </c:pt>
              </c:strCache>
            </c:strRef>
          </c:cat>
          <c:val>
            <c:numRef>
              <c:f>pivots!$B$77:$B$80</c:f>
              <c:numCache>
                <c:formatCode>#,##0</c:formatCode>
                <c:ptCount val="3"/>
                <c:pt idx="0">
                  <c:v>144</c:v>
                </c:pt>
                <c:pt idx="1">
                  <c:v>326</c:v>
                </c:pt>
                <c:pt idx="2">
                  <c:v>129</c:v>
                </c:pt>
              </c:numCache>
            </c:numRef>
          </c:val>
          <c:extLst>
            <c:ext xmlns:c16="http://schemas.microsoft.com/office/drawing/2014/chart" uri="{C3380CC4-5D6E-409C-BE32-E72D297353CC}">
              <c16:uniqueId val="{00000006-2597-4DD1-97AE-92FD83300E8B}"/>
            </c:ext>
          </c:extLst>
        </c:ser>
        <c:ser>
          <c:idx val="1"/>
          <c:order val="1"/>
          <c:tx>
            <c:strRef>
              <c:f>pivots!$C$75:$C$76</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pivots!$A$77:$A$80</c:f>
              <c:strCache>
                <c:ptCount val="3"/>
                <c:pt idx="0">
                  <c:v>Cincinnati</c:v>
                </c:pt>
                <c:pt idx="1">
                  <c:v>Cleveland</c:v>
                </c:pt>
                <c:pt idx="2">
                  <c:v>Columbus</c:v>
                </c:pt>
              </c:strCache>
            </c:strRef>
          </c:cat>
          <c:val>
            <c:numRef>
              <c:f>pivots!$C$77:$C$80</c:f>
              <c:numCache>
                <c:formatCode>#,##0</c:formatCode>
                <c:ptCount val="3"/>
                <c:pt idx="0">
                  <c:v>132</c:v>
                </c:pt>
                <c:pt idx="1">
                  <c:v>63</c:v>
                </c:pt>
                <c:pt idx="2">
                  <c:v>206</c:v>
                </c:pt>
              </c:numCache>
            </c:numRef>
          </c:val>
          <c:extLst>
            <c:ext xmlns:c16="http://schemas.microsoft.com/office/drawing/2014/chart" uri="{C3380CC4-5D6E-409C-BE32-E72D297353CC}">
              <c16:uniqueId val="{00000007-2597-4DD1-97AE-92FD83300E8B}"/>
            </c:ext>
          </c:extLst>
        </c:ser>
        <c:dLbls>
          <c:dLblPos val="ctr"/>
          <c:showLegendKey val="0"/>
          <c:showVal val="1"/>
          <c:showCatName val="0"/>
          <c:showSerName val="0"/>
          <c:showPercent val="0"/>
          <c:showBubbleSize val="0"/>
        </c:dLbls>
        <c:gapWidth val="25"/>
        <c:overlap val="100"/>
        <c:axId val="436077504"/>
        <c:axId val="436085184"/>
      </c:barChart>
      <c:catAx>
        <c:axId val="43607750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j-lt"/>
                <a:ea typeface="+mn-ea"/>
                <a:cs typeface="+mn-cs"/>
              </a:defRPr>
            </a:pPr>
            <a:endParaRPr lang="en-US"/>
          </a:p>
        </c:txPr>
        <c:crossAx val="436085184"/>
        <c:crosses val="autoZero"/>
        <c:auto val="1"/>
        <c:lblAlgn val="ctr"/>
        <c:lblOffset val="100"/>
        <c:noMultiLvlLbl val="0"/>
      </c:catAx>
      <c:valAx>
        <c:axId val="436085184"/>
        <c:scaling>
          <c:orientation val="minMax"/>
        </c:scaling>
        <c:delete val="1"/>
        <c:axPos val="l"/>
        <c:numFmt formatCode="0%" sourceLinked="1"/>
        <c:majorTickMark val="out"/>
        <c:minorTickMark val="none"/>
        <c:tickLblPos val="nextTo"/>
        <c:crossAx val="4360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[project1.xlsx]pivots!PivotTable9</c:name>
    <c:fmtId val="15"/>
  </c:pivotSource>
  <c:chart>
    <c:title>
      <c:tx>
        <c:rich>
          <a:bodyPr rot="0" spcFirstLastPara="1" vertOverflow="ellipsis" vert="horz" wrap="square" anchor="ctr" anchorCtr="1"/>
          <a:lstStyle/>
          <a:p>
            <a:pPr>
              <a:defRPr sz="1600" b="1" i="0" u="none" strike="noStrike" kern="1200" spc="0" baseline="0">
                <a:solidFill>
                  <a:schemeClr val="accent2">
                    <a:lumMod val="50000"/>
                  </a:schemeClr>
                </a:solidFill>
                <a:latin typeface="+mj-lt"/>
                <a:ea typeface="+mn-ea"/>
                <a:cs typeface="+mn-cs"/>
              </a:defRPr>
            </a:pPr>
            <a:r>
              <a:rPr lang="en-IN" sz="1600" b="1">
                <a:solidFill>
                  <a:schemeClr val="accent2">
                    <a:lumMod val="50000"/>
                  </a:schemeClr>
                </a:solidFill>
                <a:latin typeface="+mj-lt"/>
              </a:rPr>
              <a:t>Rating</a:t>
            </a:r>
          </a:p>
        </c:rich>
      </c:tx>
      <c:layout>
        <c:manualLayout>
          <c:xMode val="edge"/>
          <c:yMode val="edge"/>
          <c:x val="2.5484380765401662E-3"/>
          <c:y val="2.77779136303614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2">
                  <a:lumMod val="50000"/>
                </a:schemeClr>
              </a:solidFill>
              <a:latin typeface="+mj-lt"/>
              <a:ea typeface="+mn-ea"/>
              <a:cs typeface="+mn-cs"/>
            </a:defRPr>
          </a:pPr>
          <a:endParaRPr lang="en-US"/>
        </a:p>
      </c:txPr>
    </c:title>
    <c:autoTitleDeleted val="0"/>
    <c:pivotFmts>
      <c:pivotFmt>
        <c:idx val="0"/>
        <c:spPr>
          <a:gradFill>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60000"/>
                  <a:lumOff val="4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60000"/>
                  <a:lumOff val="40000"/>
                </a:schemeClr>
              </a:gs>
            </a:gsLst>
            <a:lin ang="27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60000"/>
                  <a:lumOff val="4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60000"/>
                  <a:lumOff val="40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29531388152077E-2"/>
          <c:y val="0.19945672551800592"/>
          <c:w val="0.90274093722369586"/>
          <c:h val="0.66614866076523038"/>
        </c:manualLayout>
      </c:layout>
      <c:barChart>
        <c:barDir val="col"/>
        <c:grouping val="stacked"/>
        <c:varyColors val="0"/>
        <c:ser>
          <c:idx val="0"/>
          <c:order val="0"/>
          <c:tx>
            <c:strRef>
              <c:f>pivots!$H$74</c:f>
              <c:strCache>
                <c:ptCount val="1"/>
                <c:pt idx="0">
                  <c:v>Total</c:v>
                </c:pt>
              </c:strCache>
            </c:strRef>
          </c:tx>
          <c:spPr>
            <a:gradFill>
              <a:gsLst>
                <a:gs pos="0">
                  <a:schemeClr val="accent1">
                    <a:lumMod val="5000"/>
                    <a:lumOff val="95000"/>
                  </a:schemeClr>
                </a:gs>
                <a:gs pos="0">
                  <a:schemeClr val="accent6">
                    <a:lumMod val="20000"/>
                    <a:lumOff val="80000"/>
                  </a:schemeClr>
                </a:gs>
                <a:gs pos="100000">
                  <a:schemeClr val="accent6">
                    <a:lumMod val="75000"/>
                  </a:schemeClr>
                </a:gs>
                <a:gs pos="100000">
                  <a:schemeClr val="accent6">
                    <a:lumMod val="60000"/>
                    <a:lumOff val="40000"/>
                  </a:schemeClr>
                </a:gs>
              </a:gsLst>
              <a:lin ang="2700000" scaled="1"/>
            </a:gradFill>
            <a:ln>
              <a:noFill/>
            </a:ln>
            <a:effectLst/>
          </c:spPr>
          <c:invertIfNegative val="0"/>
          <c:cat>
            <c:strRef>
              <c:f>pivots!$G$75:$G$81</c:f>
              <c:strCache>
                <c:ptCount val="6"/>
                <c:pt idx="0">
                  <c:v>0</c:v>
                </c:pt>
                <c:pt idx="1">
                  <c:v>1</c:v>
                </c:pt>
                <c:pt idx="2">
                  <c:v>2</c:v>
                </c:pt>
                <c:pt idx="3">
                  <c:v>3</c:v>
                </c:pt>
                <c:pt idx="4">
                  <c:v>4</c:v>
                </c:pt>
                <c:pt idx="5">
                  <c:v>5</c:v>
                </c:pt>
              </c:strCache>
            </c:strRef>
          </c:cat>
          <c:val>
            <c:numRef>
              <c:f>pivots!$H$75:$H$81</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E351-433F-9724-58FB1F1FD749}"/>
            </c:ext>
          </c:extLst>
        </c:ser>
        <c:dLbls>
          <c:showLegendKey val="0"/>
          <c:showVal val="0"/>
          <c:showCatName val="0"/>
          <c:showSerName val="0"/>
          <c:showPercent val="0"/>
          <c:showBubbleSize val="0"/>
        </c:dLbls>
        <c:gapWidth val="20"/>
        <c:overlap val="100"/>
        <c:axId val="436169184"/>
        <c:axId val="436168704"/>
      </c:barChart>
      <c:catAx>
        <c:axId val="436169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2">
                    <a:lumMod val="50000"/>
                  </a:schemeClr>
                </a:solidFill>
                <a:latin typeface="+mj-lt"/>
                <a:ea typeface="+mn-ea"/>
                <a:cs typeface="+mn-cs"/>
              </a:defRPr>
            </a:pPr>
            <a:endParaRPr lang="en-US"/>
          </a:p>
        </c:txPr>
        <c:crossAx val="436168704"/>
        <c:crosses val="autoZero"/>
        <c:auto val="1"/>
        <c:lblAlgn val="ctr"/>
        <c:lblOffset val="100"/>
        <c:noMultiLvlLbl val="0"/>
      </c:catAx>
      <c:valAx>
        <c:axId val="436168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accent2">
                    <a:lumMod val="50000"/>
                  </a:schemeClr>
                </a:solidFill>
                <a:latin typeface="+mj-lt"/>
                <a:ea typeface="+mn-ea"/>
                <a:cs typeface="+mn-cs"/>
              </a:defRPr>
            </a:pPr>
            <a:endParaRPr lang="en-US"/>
          </a:p>
        </c:txPr>
        <c:crossAx val="43616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chart" Target="../charts/chart3.xml"/><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9.sv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chart" Target="../charts/chart5.xml"/><Relationship Id="rId10" Type="http://schemas.openxmlformats.org/officeDocument/2006/relationships/image" Target="../media/image13.svg"/><Relationship Id="rId4" Type="http://schemas.openxmlformats.org/officeDocument/2006/relationships/image" Target="../media/image7.svg"/><Relationship Id="rId9" Type="http://schemas.openxmlformats.org/officeDocument/2006/relationships/image" Target="../media/image12.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3</xdr:col>
      <xdr:colOff>603673</xdr:colOff>
      <xdr:row>17</xdr:row>
      <xdr:rowOff>49953</xdr:rowOff>
    </xdr:from>
    <xdr:to>
      <xdr:col>10</xdr:col>
      <xdr:colOff>649393</xdr:colOff>
      <xdr:row>34</xdr:row>
      <xdr:rowOff>104140</xdr:rowOff>
    </xdr:to>
    <xdr:sp macro="" textlink="">
      <xdr:nvSpPr>
        <xdr:cNvPr id="5" name="Rectangle 4">
          <a:extLst>
            <a:ext uri="{FF2B5EF4-FFF2-40B4-BE49-F238E27FC236}">
              <a16:creationId xmlns:a16="http://schemas.microsoft.com/office/drawing/2014/main" id="{CA8E69D8-73FB-317F-D433-9E9520BE8332}"/>
            </a:ext>
          </a:extLst>
        </xdr:cNvPr>
        <xdr:cNvSpPr/>
      </xdr:nvSpPr>
      <xdr:spPr>
        <a:xfrm>
          <a:off x="1551940" y="3529753"/>
          <a:ext cx="4245186" cy="326305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7</xdr:col>
      <xdr:colOff>544406</xdr:colOff>
      <xdr:row>17</xdr:row>
      <xdr:rowOff>25400</xdr:rowOff>
    </xdr:from>
    <xdr:to>
      <xdr:col>11</xdr:col>
      <xdr:colOff>12699</xdr:colOff>
      <xdr:row>34</xdr:row>
      <xdr:rowOff>87207</xdr:rowOff>
    </xdr:to>
    <xdr:graphicFrame macro="">
      <xdr:nvGraphicFramePr>
        <xdr:cNvPr id="7" name="Chart 6">
          <a:extLst>
            <a:ext uri="{FF2B5EF4-FFF2-40B4-BE49-F238E27FC236}">
              <a16:creationId xmlns:a16="http://schemas.microsoft.com/office/drawing/2014/main" id="{D11D38B7-AA39-469D-B0F2-3BA20BCDE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345440</xdr:colOff>
      <xdr:row>3</xdr:row>
      <xdr:rowOff>36406</xdr:rowOff>
    </xdr:from>
    <xdr:to>
      <xdr:col>13</xdr:col>
      <xdr:colOff>764540</xdr:colOff>
      <xdr:row>15</xdr:row>
      <xdr:rowOff>5926</xdr:rowOff>
    </xdr:to>
    <xdr:graphicFrame macro="">
      <xdr:nvGraphicFramePr>
        <xdr:cNvPr id="3" name="Chart 2">
          <a:extLst>
            <a:ext uri="{FF2B5EF4-FFF2-40B4-BE49-F238E27FC236}">
              <a16:creationId xmlns:a16="http://schemas.microsoft.com/office/drawing/2014/main" id="{4244FBAB-2028-43FA-A209-5635AF103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xdr:colOff>
      <xdr:row>3</xdr:row>
      <xdr:rowOff>22860</xdr:rowOff>
    </xdr:from>
    <xdr:to>
      <xdr:col>3</xdr:col>
      <xdr:colOff>504300</xdr:colOff>
      <xdr:row>7</xdr:row>
      <xdr:rowOff>11340</xdr:rowOff>
    </xdr:to>
    <xdr:sp macro="" textlink="pivots!A4">
      <xdr:nvSpPr>
        <xdr:cNvPr id="6" name="Rectangle: Rounded Corners 5">
          <a:extLst>
            <a:ext uri="{FF2B5EF4-FFF2-40B4-BE49-F238E27FC236}">
              <a16:creationId xmlns:a16="http://schemas.microsoft.com/office/drawing/2014/main" id="{3F032B7A-A507-C94D-CABE-E67CCE1C6D87}"/>
            </a:ext>
          </a:extLst>
        </xdr:cNvPr>
        <xdr:cNvSpPr/>
      </xdr:nvSpPr>
      <xdr:spPr>
        <a:xfrm>
          <a:off x="304800" y="571500"/>
          <a:ext cx="1152000" cy="720000"/>
        </a:xfrm>
        <a:prstGeom prst="roundRect">
          <a:avLst/>
        </a:prstGeom>
        <a:solidFill>
          <a:schemeClr val="accent4">
            <a:lumMod val="40000"/>
            <a:lumOff val="60000"/>
          </a:schemeClr>
        </a:solidFill>
        <a:effectLst>
          <a:glow rad="25400">
            <a:schemeClr val="accent4">
              <a:satMod val="175000"/>
              <a:alpha val="40000"/>
            </a:schemeClr>
          </a:glow>
          <a:outerShdw blurRad="63500" sx="102000" sy="102000" algn="ctr" rotWithShape="0">
            <a:schemeClr val="accent4">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CA4BA1-DF30-4EC4-9F36-BFA4ED0B8D26}" type="TxLink">
            <a:rPr lang="en-US" sz="2000" b="0" i="0" u="none" strike="noStrike">
              <a:solidFill>
                <a:schemeClr val="accent2">
                  <a:lumMod val="50000"/>
                </a:schemeClr>
              </a:solidFill>
              <a:latin typeface="+mj-lt"/>
            </a:rPr>
            <a:pPr algn="ctr"/>
            <a:t>1,000</a:t>
          </a:fld>
          <a:endParaRPr lang="en-IN" sz="2000" b="0">
            <a:solidFill>
              <a:schemeClr val="accent2">
                <a:lumMod val="50000"/>
              </a:schemeClr>
            </a:solidFill>
            <a:latin typeface="+mj-lt"/>
          </a:endParaRPr>
        </a:p>
      </xdr:txBody>
    </xdr:sp>
    <xdr:clientData/>
  </xdr:twoCellAnchor>
  <xdr:twoCellAnchor>
    <xdr:from>
      <xdr:col>2</xdr:col>
      <xdr:colOff>320040</xdr:colOff>
      <xdr:row>3</xdr:row>
      <xdr:rowOff>38100</xdr:rowOff>
    </xdr:from>
    <xdr:to>
      <xdr:col>3</xdr:col>
      <xdr:colOff>373380</xdr:colOff>
      <xdr:row>4</xdr:row>
      <xdr:rowOff>38100</xdr:rowOff>
    </xdr:to>
    <xdr:sp macro="" textlink="">
      <xdr:nvSpPr>
        <xdr:cNvPr id="12" name="TextBox 11">
          <a:extLst>
            <a:ext uri="{FF2B5EF4-FFF2-40B4-BE49-F238E27FC236}">
              <a16:creationId xmlns:a16="http://schemas.microsoft.com/office/drawing/2014/main" id="{BD29C5D1-F50D-583C-D145-7B79E15D14AE}"/>
            </a:ext>
          </a:extLst>
        </xdr:cNvPr>
        <xdr:cNvSpPr txBox="1"/>
      </xdr:nvSpPr>
      <xdr:spPr>
        <a:xfrm>
          <a:off x="601980" y="586740"/>
          <a:ext cx="7239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50000"/>
                </a:schemeClr>
              </a:solidFill>
              <a:latin typeface="+mj-lt"/>
            </a:rPr>
            <a:t>Calls</a:t>
          </a:r>
        </a:p>
        <a:p>
          <a:endParaRPr lang="en-IN" sz="1100">
            <a:solidFill>
              <a:schemeClr val="accent2">
                <a:lumMod val="50000"/>
              </a:schemeClr>
            </a:solidFill>
          </a:endParaRPr>
        </a:p>
      </xdr:txBody>
    </xdr:sp>
    <xdr:clientData/>
  </xdr:twoCellAnchor>
  <xdr:twoCellAnchor editAs="oneCell">
    <xdr:from>
      <xdr:col>2</xdr:col>
      <xdr:colOff>91440</xdr:colOff>
      <xdr:row>3</xdr:row>
      <xdr:rowOff>45720</xdr:rowOff>
    </xdr:from>
    <xdr:to>
      <xdr:col>2</xdr:col>
      <xdr:colOff>289301</xdr:colOff>
      <xdr:row>4</xdr:row>
      <xdr:rowOff>53341</xdr:rowOff>
    </xdr:to>
    <xdr:pic>
      <xdr:nvPicPr>
        <xdr:cNvPr id="14" name="Graphic 13" descr="Receiver with solid fill">
          <a:extLst>
            <a:ext uri="{FF2B5EF4-FFF2-40B4-BE49-F238E27FC236}">
              <a16:creationId xmlns:a16="http://schemas.microsoft.com/office/drawing/2014/main" id="{A4B71BAA-86F2-40E3-B825-47B2D98156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3380" y="594360"/>
          <a:ext cx="197861" cy="190500"/>
        </a:xfrm>
        <a:prstGeom prst="rect">
          <a:avLst/>
        </a:prstGeom>
      </xdr:spPr>
    </xdr:pic>
    <xdr:clientData/>
  </xdr:twoCellAnchor>
  <xdr:twoCellAnchor>
    <xdr:from>
      <xdr:col>2</xdr:col>
      <xdr:colOff>289560</xdr:colOff>
      <xdr:row>5</xdr:row>
      <xdr:rowOff>175260</xdr:rowOff>
    </xdr:from>
    <xdr:to>
      <xdr:col>3</xdr:col>
      <xdr:colOff>213360</xdr:colOff>
      <xdr:row>6</xdr:row>
      <xdr:rowOff>152400</xdr:rowOff>
    </xdr:to>
    <xdr:sp macro="" textlink="pivots!A11">
      <xdr:nvSpPr>
        <xdr:cNvPr id="15" name="TextBox 14">
          <a:extLst>
            <a:ext uri="{FF2B5EF4-FFF2-40B4-BE49-F238E27FC236}">
              <a16:creationId xmlns:a16="http://schemas.microsoft.com/office/drawing/2014/main" id="{2783D3AC-CDE1-3CE5-805C-09D3562D9E7A}"/>
            </a:ext>
          </a:extLst>
        </xdr:cNvPr>
        <xdr:cNvSpPr txBox="1"/>
      </xdr:nvSpPr>
      <xdr:spPr>
        <a:xfrm>
          <a:off x="571500" y="1089660"/>
          <a:ext cx="5943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1BE69E-46A4-4449-973C-3B026B6D73F4}" type="TxLink">
            <a:rPr lang="en-US" sz="1100" b="0" i="0" u="none" strike="noStrike">
              <a:solidFill>
                <a:schemeClr val="accent2">
                  <a:lumMod val="50000"/>
                </a:schemeClr>
              </a:solidFill>
              <a:latin typeface="+mj-lt"/>
            </a:rPr>
            <a:pPr algn="ctr"/>
            <a:t>1,000</a:t>
          </a:fld>
          <a:endParaRPr lang="en-IN" sz="1100" b="0">
            <a:solidFill>
              <a:schemeClr val="accent2">
                <a:lumMod val="50000"/>
              </a:schemeClr>
            </a:solidFill>
            <a:latin typeface="+mj-lt"/>
          </a:endParaRPr>
        </a:p>
      </xdr:txBody>
    </xdr:sp>
    <xdr:clientData/>
  </xdr:twoCellAnchor>
  <xdr:twoCellAnchor>
    <xdr:from>
      <xdr:col>2</xdr:col>
      <xdr:colOff>312420</xdr:colOff>
      <xdr:row>10</xdr:row>
      <xdr:rowOff>15240</xdr:rowOff>
    </xdr:from>
    <xdr:to>
      <xdr:col>3</xdr:col>
      <xdr:colOff>365760</xdr:colOff>
      <xdr:row>11</xdr:row>
      <xdr:rowOff>15240</xdr:rowOff>
    </xdr:to>
    <xdr:sp macro="" textlink="">
      <xdr:nvSpPr>
        <xdr:cNvPr id="17" name="TextBox 16">
          <a:extLst>
            <a:ext uri="{FF2B5EF4-FFF2-40B4-BE49-F238E27FC236}">
              <a16:creationId xmlns:a16="http://schemas.microsoft.com/office/drawing/2014/main" id="{CCD18FF7-992E-4DDF-B257-D51FE181D6D8}"/>
            </a:ext>
          </a:extLst>
        </xdr:cNvPr>
        <xdr:cNvSpPr txBox="1"/>
      </xdr:nvSpPr>
      <xdr:spPr>
        <a:xfrm>
          <a:off x="594360" y="1844040"/>
          <a:ext cx="7239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accent2">
                <a:lumMod val="50000"/>
              </a:schemeClr>
            </a:solidFill>
            <a:latin typeface="+mj-lt"/>
          </a:endParaRPr>
        </a:p>
        <a:p>
          <a:endParaRPr lang="en-IN" sz="1100">
            <a:solidFill>
              <a:schemeClr val="accent2">
                <a:lumMod val="50000"/>
              </a:schemeClr>
            </a:solidFill>
          </a:endParaRPr>
        </a:p>
      </xdr:txBody>
    </xdr:sp>
    <xdr:clientData/>
  </xdr:twoCellAnchor>
  <xdr:twoCellAnchor>
    <xdr:from>
      <xdr:col>2</xdr:col>
      <xdr:colOff>22860</xdr:colOff>
      <xdr:row>13</xdr:row>
      <xdr:rowOff>91440</xdr:rowOff>
    </xdr:from>
    <xdr:to>
      <xdr:col>3</xdr:col>
      <xdr:colOff>504300</xdr:colOff>
      <xdr:row>17</xdr:row>
      <xdr:rowOff>79920</xdr:rowOff>
    </xdr:to>
    <xdr:sp macro="" textlink="pivots!C4">
      <xdr:nvSpPr>
        <xdr:cNvPr id="20" name="Rectangle: Rounded Corners 19">
          <a:extLst>
            <a:ext uri="{FF2B5EF4-FFF2-40B4-BE49-F238E27FC236}">
              <a16:creationId xmlns:a16="http://schemas.microsoft.com/office/drawing/2014/main" id="{D4B1526E-3C41-4179-947E-746738ED98E5}"/>
            </a:ext>
          </a:extLst>
        </xdr:cNvPr>
        <xdr:cNvSpPr/>
      </xdr:nvSpPr>
      <xdr:spPr>
        <a:xfrm>
          <a:off x="304800" y="2468880"/>
          <a:ext cx="1152000" cy="720000"/>
        </a:xfrm>
        <a:prstGeom prst="roundRect">
          <a:avLst/>
        </a:prstGeom>
        <a:solidFill>
          <a:schemeClr val="accent4">
            <a:lumMod val="40000"/>
            <a:lumOff val="60000"/>
          </a:schemeClr>
        </a:solidFill>
        <a:effectLst>
          <a:glow rad="25400">
            <a:schemeClr val="accent4">
              <a:satMod val="175000"/>
              <a:alpha val="40000"/>
            </a:schemeClr>
          </a:glow>
          <a:outerShdw blurRad="63500" sx="102000" sy="102000" algn="ctr" rotWithShape="0">
            <a:schemeClr val="accent4">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43692D-CC38-4A66-8063-4E4FF759396C}" type="TxLink">
            <a:rPr lang="en-US" sz="2000" b="0" i="0" u="none" strike="noStrike">
              <a:solidFill>
                <a:schemeClr val="accent2">
                  <a:lumMod val="50000"/>
                </a:schemeClr>
              </a:solidFill>
              <a:latin typeface="+mj-lt"/>
            </a:rPr>
            <a:pPr algn="ctr"/>
            <a:t>89,850</a:t>
          </a:fld>
          <a:endParaRPr lang="en-IN" sz="4000" b="0">
            <a:solidFill>
              <a:schemeClr val="accent2">
                <a:lumMod val="50000"/>
              </a:schemeClr>
            </a:solidFill>
            <a:latin typeface="+mj-lt"/>
          </a:endParaRPr>
        </a:p>
      </xdr:txBody>
    </xdr:sp>
    <xdr:clientData/>
  </xdr:twoCellAnchor>
  <xdr:twoCellAnchor>
    <xdr:from>
      <xdr:col>2</xdr:col>
      <xdr:colOff>205740</xdr:colOff>
      <xdr:row>13</xdr:row>
      <xdr:rowOff>83820</xdr:rowOff>
    </xdr:from>
    <xdr:to>
      <xdr:col>3</xdr:col>
      <xdr:colOff>358140</xdr:colOff>
      <xdr:row>14</xdr:row>
      <xdr:rowOff>129540</xdr:rowOff>
    </xdr:to>
    <xdr:sp macro="" textlink="">
      <xdr:nvSpPr>
        <xdr:cNvPr id="21" name="TextBox 20">
          <a:extLst>
            <a:ext uri="{FF2B5EF4-FFF2-40B4-BE49-F238E27FC236}">
              <a16:creationId xmlns:a16="http://schemas.microsoft.com/office/drawing/2014/main" id="{BB1D4489-3BC3-46EE-91DA-1C73CC0F6807}"/>
            </a:ext>
          </a:extLst>
        </xdr:cNvPr>
        <xdr:cNvSpPr txBox="1"/>
      </xdr:nvSpPr>
      <xdr:spPr>
        <a:xfrm>
          <a:off x="487680" y="2461260"/>
          <a:ext cx="8229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50000"/>
                </a:schemeClr>
              </a:solidFill>
              <a:latin typeface="+mj-lt"/>
            </a:rPr>
            <a:t>Duration</a:t>
          </a:r>
        </a:p>
        <a:p>
          <a:endParaRPr lang="en-IN" sz="1100">
            <a:solidFill>
              <a:schemeClr val="accent2">
                <a:lumMod val="50000"/>
              </a:schemeClr>
            </a:solidFill>
            <a:latin typeface="+mj-lt"/>
          </a:endParaRPr>
        </a:p>
        <a:p>
          <a:endParaRPr lang="en-IN" sz="1100">
            <a:solidFill>
              <a:schemeClr val="accent2">
                <a:lumMod val="50000"/>
              </a:schemeClr>
            </a:solidFill>
          </a:endParaRPr>
        </a:p>
      </xdr:txBody>
    </xdr:sp>
    <xdr:clientData/>
  </xdr:twoCellAnchor>
  <xdr:twoCellAnchor>
    <xdr:from>
      <xdr:col>2</xdr:col>
      <xdr:colOff>182880</xdr:colOff>
      <xdr:row>16</xdr:row>
      <xdr:rowOff>30480</xdr:rowOff>
    </xdr:from>
    <xdr:to>
      <xdr:col>3</xdr:col>
      <xdr:colOff>304800</xdr:colOff>
      <xdr:row>17</xdr:row>
      <xdr:rowOff>15240</xdr:rowOff>
    </xdr:to>
    <xdr:sp macro="" textlink="pivots!C11">
      <xdr:nvSpPr>
        <xdr:cNvPr id="23" name="TextBox 22">
          <a:extLst>
            <a:ext uri="{FF2B5EF4-FFF2-40B4-BE49-F238E27FC236}">
              <a16:creationId xmlns:a16="http://schemas.microsoft.com/office/drawing/2014/main" id="{D5086792-43D6-4ACC-9AF2-5F9D75600994}"/>
            </a:ext>
          </a:extLst>
        </xdr:cNvPr>
        <xdr:cNvSpPr txBox="1"/>
      </xdr:nvSpPr>
      <xdr:spPr>
        <a:xfrm>
          <a:off x="464820" y="2956560"/>
          <a:ext cx="7924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32DF72-EBFE-4A02-930B-8552B4666B13}" type="TxLink">
            <a:rPr lang="en-US" sz="1100" b="0" i="0" u="none" strike="noStrike">
              <a:solidFill>
                <a:schemeClr val="accent2">
                  <a:lumMod val="50000"/>
                </a:schemeClr>
              </a:solidFill>
              <a:latin typeface="+mj-lt"/>
            </a:rPr>
            <a:pPr algn="ctr"/>
            <a:t>89,850</a:t>
          </a:fld>
          <a:endParaRPr lang="en-IN" sz="1100" b="0">
            <a:solidFill>
              <a:schemeClr val="accent2">
                <a:lumMod val="50000"/>
              </a:schemeClr>
            </a:solidFill>
            <a:latin typeface="+mj-lt"/>
          </a:endParaRPr>
        </a:p>
      </xdr:txBody>
    </xdr:sp>
    <xdr:clientData/>
  </xdr:twoCellAnchor>
  <xdr:twoCellAnchor>
    <xdr:from>
      <xdr:col>2</xdr:col>
      <xdr:colOff>0</xdr:colOff>
      <xdr:row>18</xdr:row>
      <xdr:rowOff>160020</xdr:rowOff>
    </xdr:from>
    <xdr:to>
      <xdr:col>3</xdr:col>
      <xdr:colOff>481440</xdr:colOff>
      <xdr:row>22</xdr:row>
      <xdr:rowOff>148500</xdr:rowOff>
    </xdr:to>
    <xdr:sp macro="" textlink="pivots!D4">
      <xdr:nvSpPr>
        <xdr:cNvPr id="24" name="Rectangle: Rounded Corners 23">
          <a:extLst>
            <a:ext uri="{FF2B5EF4-FFF2-40B4-BE49-F238E27FC236}">
              <a16:creationId xmlns:a16="http://schemas.microsoft.com/office/drawing/2014/main" id="{80847982-D68F-4591-BC38-80A00FA026A3}"/>
            </a:ext>
          </a:extLst>
        </xdr:cNvPr>
        <xdr:cNvSpPr/>
      </xdr:nvSpPr>
      <xdr:spPr>
        <a:xfrm>
          <a:off x="281940" y="3451860"/>
          <a:ext cx="1152000" cy="720000"/>
        </a:xfrm>
        <a:prstGeom prst="roundRect">
          <a:avLst/>
        </a:prstGeom>
        <a:solidFill>
          <a:schemeClr val="accent4">
            <a:lumMod val="40000"/>
            <a:lumOff val="60000"/>
          </a:schemeClr>
        </a:solidFill>
        <a:effectLst>
          <a:glow rad="25400">
            <a:schemeClr val="accent4">
              <a:satMod val="175000"/>
              <a:alpha val="40000"/>
            </a:schemeClr>
          </a:glow>
          <a:outerShdw blurRad="63500" sx="102000" sy="102000" algn="ctr" rotWithShape="0">
            <a:schemeClr val="accent4">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44E14A-B6F8-4961-BA23-E4257150333D}" type="TxLink">
            <a:rPr lang="en-US" sz="2400" b="0" i="0" u="none" strike="noStrike">
              <a:solidFill>
                <a:schemeClr val="accent2">
                  <a:lumMod val="50000"/>
                </a:schemeClr>
              </a:solidFill>
              <a:latin typeface="+mj-lt"/>
            </a:rPr>
            <a:pPr algn="ctr"/>
            <a:t>3.9</a:t>
          </a:fld>
          <a:endParaRPr lang="en-IN" sz="4400" b="0">
            <a:solidFill>
              <a:schemeClr val="accent2">
                <a:lumMod val="50000"/>
              </a:schemeClr>
            </a:solidFill>
            <a:latin typeface="+mj-lt"/>
          </a:endParaRPr>
        </a:p>
      </xdr:txBody>
    </xdr:sp>
    <xdr:clientData/>
  </xdr:twoCellAnchor>
  <xdr:twoCellAnchor>
    <xdr:from>
      <xdr:col>2</xdr:col>
      <xdr:colOff>15240</xdr:colOff>
      <xdr:row>24</xdr:row>
      <xdr:rowOff>68580</xdr:rowOff>
    </xdr:from>
    <xdr:to>
      <xdr:col>3</xdr:col>
      <xdr:colOff>496680</xdr:colOff>
      <xdr:row>28</xdr:row>
      <xdr:rowOff>57060</xdr:rowOff>
    </xdr:to>
    <xdr:sp macro="" textlink="pivots!E4">
      <xdr:nvSpPr>
        <xdr:cNvPr id="28" name="Rectangle: Rounded Corners 27">
          <a:extLst>
            <a:ext uri="{FF2B5EF4-FFF2-40B4-BE49-F238E27FC236}">
              <a16:creationId xmlns:a16="http://schemas.microsoft.com/office/drawing/2014/main" id="{4AC0C225-31FF-4CC5-B235-99D60FE725BA}"/>
            </a:ext>
          </a:extLst>
        </xdr:cNvPr>
        <xdr:cNvSpPr/>
      </xdr:nvSpPr>
      <xdr:spPr>
        <a:xfrm>
          <a:off x="297180" y="4457700"/>
          <a:ext cx="1152000" cy="720000"/>
        </a:xfrm>
        <a:prstGeom prst="roundRect">
          <a:avLst/>
        </a:prstGeom>
        <a:solidFill>
          <a:schemeClr val="accent4">
            <a:lumMod val="40000"/>
            <a:lumOff val="60000"/>
          </a:schemeClr>
        </a:solidFill>
        <a:effectLst>
          <a:glow rad="25400">
            <a:schemeClr val="accent4">
              <a:satMod val="175000"/>
              <a:alpha val="40000"/>
            </a:schemeClr>
          </a:glow>
          <a:outerShdw blurRad="63500" sx="102000" sy="102000" algn="ctr" rotWithShape="0">
            <a:schemeClr val="accent4">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00866E-846A-4C46-807F-58A56D0BA3D7}" type="TxLink">
            <a:rPr lang="en-US" sz="2400" b="0" i="0" u="none" strike="noStrike">
              <a:solidFill>
                <a:schemeClr val="accent2">
                  <a:lumMod val="50000"/>
                </a:schemeClr>
              </a:solidFill>
              <a:latin typeface="+mj-lt"/>
            </a:rPr>
            <a:pPr algn="ctr"/>
            <a:t>307</a:t>
          </a:fld>
          <a:endParaRPr lang="en-IN" sz="4400" b="0">
            <a:solidFill>
              <a:schemeClr val="accent2">
                <a:lumMod val="50000"/>
              </a:schemeClr>
            </a:solidFill>
            <a:latin typeface="+mj-lt"/>
          </a:endParaRPr>
        </a:p>
      </xdr:txBody>
    </xdr:sp>
    <xdr:clientData/>
  </xdr:twoCellAnchor>
  <xdr:twoCellAnchor>
    <xdr:from>
      <xdr:col>2</xdr:col>
      <xdr:colOff>274320</xdr:colOff>
      <xdr:row>24</xdr:row>
      <xdr:rowOff>53340</xdr:rowOff>
    </xdr:from>
    <xdr:to>
      <xdr:col>3</xdr:col>
      <xdr:colOff>327660</xdr:colOff>
      <xdr:row>25</xdr:row>
      <xdr:rowOff>53340</xdr:rowOff>
    </xdr:to>
    <xdr:sp macro="" textlink="">
      <xdr:nvSpPr>
        <xdr:cNvPr id="29" name="TextBox 28">
          <a:extLst>
            <a:ext uri="{FF2B5EF4-FFF2-40B4-BE49-F238E27FC236}">
              <a16:creationId xmlns:a16="http://schemas.microsoft.com/office/drawing/2014/main" id="{755950F8-2FDC-4F7B-9835-0D9767EA1A13}"/>
            </a:ext>
          </a:extLst>
        </xdr:cNvPr>
        <xdr:cNvSpPr txBox="1"/>
      </xdr:nvSpPr>
      <xdr:spPr>
        <a:xfrm>
          <a:off x="556260" y="4442460"/>
          <a:ext cx="7239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50000"/>
                </a:schemeClr>
              </a:solidFill>
              <a:latin typeface="+mj-lt"/>
            </a:rPr>
            <a:t>Happy</a:t>
          </a:r>
        </a:p>
        <a:p>
          <a:endParaRPr lang="en-IN" sz="1100">
            <a:solidFill>
              <a:schemeClr val="accent2">
                <a:lumMod val="50000"/>
              </a:schemeClr>
            </a:solidFill>
            <a:latin typeface="+mj-lt"/>
          </a:endParaRPr>
        </a:p>
        <a:p>
          <a:endParaRPr lang="en-IN" sz="1100">
            <a:solidFill>
              <a:schemeClr val="accent2">
                <a:lumMod val="50000"/>
              </a:schemeClr>
            </a:solidFill>
          </a:endParaRPr>
        </a:p>
      </xdr:txBody>
    </xdr:sp>
    <xdr:clientData/>
  </xdr:twoCellAnchor>
  <xdr:twoCellAnchor>
    <xdr:from>
      <xdr:col>2</xdr:col>
      <xdr:colOff>281940</xdr:colOff>
      <xdr:row>27</xdr:row>
      <xdr:rowOff>53340</xdr:rowOff>
    </xdr:from>
    <xdr:to>
      <xdr:col>3</xdr:col>
      <xdr:colOff>205740</xdr:colOff>
      <xdr:row>28</xdr:row>
      <xdr:rowOff>30480</xdr:rowOff>
    </xdr:to>
    <xdr:sp macro="" textlink="pivots!E11">
      <xdr:nvSpPr>
        <xdr:cNvPr id="31" name="TextBox 30">
          <a:extLst>
            <a:ext uri="{FF2B5EF4-FFF2-40B4-BE49-F238E27FC236}">
              <a16:creationId xmlns:a16="http://schemas.microsoft.com/office/drawing/2014/main" id="{5EA0E7B3-868F-4170-8E4E-F8A27A54BDEE}"/>
            </a:ext>
          </a:extLst>
        </xdr:cNvPr>
        <xdr:cNvSpPr txBox="1"/>
      </xdr:nvSpPr>
      <xdr:spPr>
        <a:xfrm>
          <a:off x="563880" y="4991100"/>
          <a:ext cx="59436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ACCC03-F44C-4C08-A6EE-B9E18517F951}" type="TxLink">
            <a:rPr lang="en-US" sz="1100" b="0" i="0" u="none" strike="noStrike">
              <a:solidFill>
                <a:schemeClr val="accent2">
                  <a:lumMod val="50000"/>
                </a:schemeClr>
              </a:solidFill>
              <a:latin typeface="+mj-lt"/>
            </a:rPr>
            <a:pPr algn="ctr"/>
            <a:t>307</a:t>
          </a:fld>
          <a:endParaRPr lang="en-IN" sz="1100" b="0">
            <a:solidFill>
              <a:schemeClr val="accent2">
                <a:lumMod val="50000"/>
              </a:schemeClr>
            </a:solidFill>
            <a:latin typeface="+mj-lt"/>
          </a:endParaRPr>
        </a:p>
      </xdr:txBody>
    </xdr:sp>
    <xdr:clientData/>
  </xdr:twoCellAnchor>
  <xdr:twoCellAnchor>
    <xdr:from>
      <xdr:col>2</xdr:col>
      <xdr:colOff>22860</xdr:colOff>
      <xdr:row>8</xdr:row>
      <xdr:rowOff>0</xdr:rowOff>
    </xdr:from>
    <xdr:to>
      <xdr:col>3</xdr:col>
      <xdr:colOff>504300</xdr:colOff>
      <xdr:row>11</xdr:row>
      <xdr:rowOff>171360</xdr:rowOff>
    </xdr:to>
    <xdr:sp macro="" textlink="pivots!B4">
      <xdr:nvSpPr>
        <xdr:cNvPr id="32" name="Rectangle: Rounded Corners 31">
          <a:extLst>
            <a:ext uri="{FF2B5EF4-FFF2-40B4-BE49-F238E27FC236}">
              <a16:creationId xmlns:a16="http://schemas.microsoft.com/office/drawing/2014/main" id="{19E46D59-B97D-4C00-9A00-F6A6314AE592}"/>
            </a:ext>
          </a:extLst>
        </xdr:cNvPr>
        <xdr:cNvSpPr/>
      </xdr:nvSpPr>
      <xdr:spPr>
        <a:xfrm>
          <a:off x="304800" y="1463040"/>
          <a:ext cx="1152000" cy="720000"/>
        </a:xfrm>
        <a:prstGeom prst="roundRect">
          <a:avLst/>
        </a:prstGeom>
        <a:solidFill>
          <a:schemeClr val="accent4">
            <a:lumMod val="40000"/>
            <a:lumOff val="60000"/>
          </a:schemeClr>
        </a:solidFill>
        <a:effectLst>
          <a:glow rad="25400">
            <a:schemeClr val="accent4">
              <a:satMod val="175000"/>
              <a:alpha val="40000"/>
            </a:schemeClr>
          </a:glow>
          <a:outerShdw blurRad="63500" sx="102000" sy="102000" algn="ctr" rotWithShape="0">
            <a:schemeClr val="accent4">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2CBA20-3433-4ED8-A12B-B7823CE10241}" type="TxLink">
            <a:rPr lang="en-US" sz="2000" b="0" i="0" u="none" strike="noStrike">
              <a:solidFill>
                <a:schemeClr val="accent2">
                  <a:lumMod val="50000"/>
                </a:schemeClr>
              </a:solidFill>
              <a:latin typeface="+mj-lt"/>
            </a:rPr>
            <a:pPr algn="ctr"/>
            <a:t>$96,623</a:t>
          </a:fld>
          <a:endParaRPr lang="en-IN" sz="4000" b="0">
            <a:solidFill>
              <a:schemeClr val="accent2">
                <a:lumMod val="50000"/>
              </a:schemeClr>
            </a:solidFill>
            <a:latin typeface="+mj-lt"/>
          </a:endParaRPr>
        </a:p>
      </xdr:txBody>
    </xdr:sp>
    <xdr:clientData/>
  </xdr:twoCellAnchor>
  <xdr:twoCellAnchor>
    <xdr:from>
      <xdr:col>2</xdr:col>
      <xdr:colOff>297180</xdr:colOff>
      <xdr:row>7</xdr:row>
      <xdr:rowOff>175260</xdr:rowOff>
    </xdr:from>
    <xdr:to>
      <xdr:col>3</xdr:col>
      <xdr:colOff>350520</xdr:colOff>
      <xdr:row>8</xdr:row>
      <xdr:rowOff>175260</xdr:rowOff>
    </xdr:to>
    <xdr:sp macro="" textlink="">
      <xdr:nvSpPr>
        <xdr:cNvPr id="33" name="TextBox 32">
          <a:extLst>
            <a:ext uri="{FF2B5EF4-FFF2-40B4-BE49-F238E27FC236}">
              <a16:creationId xmlns:a16="http://schemas.microsoft.com/office/drawing/2014/main" id="{F85E1889-FCCE-4774-B532-2116F2E6A260}"/>
            </a:ext>
          </a:extLst>
        </xdr:cNvPr>
        <xdr:cNvSpPr txBox="1"/>
      </xdr:nvSpPr>
      <xdr:spPr>
        <a:xfrm>
          <a:off x="579120" y="1455420"/>
          <a:ext cx="72390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50000"/>
                </a:schemeClr>
              </a:solidFill>
              <a:latin typeface="+mj-lt"/>
            </a:rPr>
            <a:t>Amount</a:t>
          </a:r>
        </a:p>
        <a:p>
          <a:endParaRPr lang="en-IN" sz="1100">
            <a:solidFill>
              <a:schemeClr val="accent2">
                <a:lumMod val="50000"/>
              </a:schemeClr>
            </a:solidFill>
            <a:latin typeface="+mj-lt"/>
          </a:endParaRPr>
        </a:p>
        <a:p>
          <a:endParaRPr lang="en-IN" sz="1100">
            <a:solidFill>
              <a:schemeClr val="accent2">
                <a:lumMod val="50000"/>
              </a:schemeClr>
            </a:solidFill>
          </a:endParaRPr>
        </a:p>
      </xdr:txBody>
    </xdr:sp>
    <xdr:clientData/>
  </xdr:twoCellAnchor>
  <xdr:twoCellAnchor>
    <xdr:from>
      <xdr:col>2</xdr:col>
      <xdr:colOff>297180</xdr:colOff>
      <xdr:row>10</xdr:row>
      <xdr:rowOff>99060</xdr:rowOff>
    </xdr:from>
    <xdr:to>
      <xdr:col>3</xdr:col>
      <xdr:colOff>373380</xdr:colOff>
      <xdr:row>11</xdr:row>
      <xdr:rowOff>114300</xdr:rowOff>
    </xdr:to>
    <xdr:sp macro="" textlink="pivots!B11">
      <xdr:nvSpPr>
        <xdr:cNvPr id="36" name="TextBox 35">
          <a:extLst>
            <a:ext uri="{FF2B5EF4-FFF2-40B4-BE49-F238E27FC236}">
              <a16:creationId xmlns:a16="http://schemas.microsoft.com/office/drawing/2014/main" id="{F4D8E996-5597-33C5-1D28-FC05CFCE15D1}"/>
            </a:ext>
          </a:extLst>
        </xdr:cNvPr>
        <xdr:cNvSpPr txBox="1"/>
      </xdr:nvSpPr>
      <xdr:spPr>
        <a:xfrm>
          <a:off x="579120" y="1927860"/>
          <a:ext cx="7467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86C58C-AAD2-44C5-B227-57A6E2551CFE}" type="TxLink">
            <a:rPr lang="en-US" sz="1100" b="0" i="0" u="none" strike="noStrike">
              <a:solidFill>
                <a:schemeClr val="accent2">
                  <a:lumMod val="50000"/>
                </a:schemeClr>
              </a:solidFill>
              <a:latin typeface="+mj-lt"/>
            </a:rPr>
            <a:pPr/>
            <a:t>$96,623</a:t>
          </a:fld>
          <a:endParaRPr lang="en-IN" sz="1100">
            <a:solidFill>
              <a:schemeClr val="accent2">
                <a:lumMod val="50000"/>
              </a:schemeClr>
            </a:solidFill>
            <a:latin typeface="+mj-lt"/>
          </a:endParaRPr>
        </a:p>
      </xdr:txBody>
    </xdr:sp>
    <xdr:clientData/>
  </xdr:twoCellAnchor>
  <xdr:twoCellAnchor>
    <xdr:from>
      <xdr:col>2</xdr:col>
      <xdr:colOff>205740</xdr:colOff>
      <xdr:row>18</xdr:row>
      <xdr:rowOff>167640</xdr:rowOff>
    </xdr:from>
    <xdr:to>
      <xdr:col>3</xdr:col>
      <xdr:colOff>381000</xdr:colOff>
      <xdr:row>19</xdr:row>
      <xdr:rowOff>167640</xdr:rowOff>
    </xdr:to>
    <xdr:sp macro="" textlink="">
      <xdr:nvSpPr>
        <xdr:cNvPr id="37" name="TextBox 36">
          <a:extLst>
            <a:ext uri="{FF2B5EF4-FFF2-40B4-BE49-F238E27FC236}">
              <a16:creationId xmlns:a16="http://schemas.microsoft.com/office/drawing/2014/main" id="{71D4606D-A204-D5C3-7DF3-F71DAAFAAB42}"/>
            </a:ext>
          </a:extLst>
        </xdr:cNvPr>
        <xdr:cNvSpPr txBox="1"/>
      </xdr:nvSpPr>
      <xdr:spPr>
        <a:xfrm>
          <a:off x="487680" y="3459480"/>
          <a:ext cx="8458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50000"/>
                </a:schemeClr>
              </a:solidFill>
              <a:latin typeface="+mj-lt"/>
            </a:rPr>
            <a:t>Avg</a:t>
          </a:r>
          <a:r>
            <a:rPr lang="en-IN" sz="1100"/>
            <a:t>.</a:t>
          </a:r>
          <a:r>
            <a:rPr lang="en-IN" sz="1100">
              <a:solidFill>
                <a:schemeClr val="accent2">
                  <a:lumMod val="50000"/>
                </a:schemeClr>
              </a:solidFill>
              <a:latin typeface="+mj-lt"/>
            </a:rPr>
            <a:t>Rating</a:t>
          </a:r>
        </a:p>
      </xdr:txBody>
    </xdr:sp>
    <xdr:clientData/>
  </xdr:twoCellAnchor>
  <xdr:twoCellAnchor>
    <xdr:from>
      <xdr:col>2</xdr:col>
      <xdr:colOff>373380</xdr:colOff>
      <xdr:row>21</xdr:row>
      <xdr:rowOff>83820</xdr:rowOff>
    </xdr:from>
    <xdr:to>
      <xdr:col>3</xdr:col>
      <xdr:colOff>167640</xdr:colOff>
      <xdr:row>22</xdr:row>
      <xdr:rowOff>68580</xdr:rowOff>
    </xdr:to>
    <xdr:sp macro="" textlink="pivots!D11">
      <xdr:nvSpPr>
        <xdr:cNvPr id="38" name="TextBox 37">
          <a:extLst>
            <a:ext uri="{FF2B5EF4-FFF2-40B4-BE49-F238E27FC236}">
              <a16:creationId xmlns:a16="http://schemas.microsoft.com/office/drawing/2014/main" id="{B8DCA52C-C8A3-15FD-A671-780E59690A19}"/>
            </a:ext>
          </a:extLst>
        </xdr:cNvPr>
        <xdr:cNvSpPr txBox="1"/>
      </xdr:nvSpPr>
      <xdr:spPr>
        <a:xfrm>
          <a:off x="655320" y="3924300"/>
          <a:ext cx="4648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464DEC-2501-4AB4-871B-DA559E03A8F3}" type="TxLink">
            <a:rPr lang="en-US" sz="1100" b="0" i="0" u="none" strike="noStrike">
              <a:solidFill>
                <a:schemeClr val="accent2">
                  <a:lumMod val="50000"/>
                </a:schemeClr>
              </a:solidFill>
              <a:latin typeface="+mj-lt"/>
            </a:rPr>
            <a:pPr/>
            <a:t>3.9</a:t>
          </a:fld>
          <a:endParaRPr lang="en-IN" sz="1100">
            <a:solidFill>
              <a:schemeClr val="accent2">
                <a:lumMod val="50000"/>
              </a:schemeClr>
            </a:solidFill>
            <a:latin typeface="+mj-lt"/>
          </a:endParaRPr>
        </a:p>
      </xdr:txBody>
    </xdr:sp>
    <xdr:clientData/>
  </xdr:twoCellAnchor>
  <xdr:twoCellAnchor editAs="oneCell">
    <xdr:from>
      <xdr:col>2</xdr:col>
      <xdr:colOff>129541</xdr:colOff>
      <xdr:row>8</xdr:row>
      <xdr:rowOff>53340</xdr:rowOff>
    </xdr:from>
    <xdr:to>
      <xdr:col>2</xdr:col>
      <xdr:colOff>266737</xdr:colOff>
      <xdr:row>9</xdr:row>
      <xdr:rowOff>0</xdr:rowOff>
    </xdr:to>
    <xdr:pic>
      <xdr:nvPicPr>
        <xdr:cNvPr id="39" name="Graphic 38" descr="Shopping cart with solid fill">
          <a:extLst>
            <a:ext uri="{FF2B5EF4-FFF2-40B4-BE49-F238E27FC236}">
              <a16:creationId xmlns:a16="http://schemas.microsoft.com/office/drawing/2014/main" id="{C18F0870-07A1-4339-AF38-03AEDABF77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1481" y="1516380"/>
          <a:ext cx="137196" cy="129540"/>
        </a:xfrm>
        <a:prstGeom prst="rect">
          <a:avLst/>
        </a:prstGeom>
      </xdr:spPr>
    </xdr:pic>
    <xdr:clientData/>
  </xdr:twoCellAnchor>
  <xdr:twoCellAnchor editAs="oneCell">
    <xdr:from>
      <xdr:col>2</xdr:col>
      <xdr:colOff>76200</xdr:colOff>
      <xdr:row>13</xdr:row>
      <xdr:rowOff>129540</xdr:rowOff>
    </xdr:from>
    <xdr:to>
      <xdr:col>2</xdr:col>
      <xdr:colOff>231489</xdr:colOff>
      <xdr:row>14</xdr:row>
      <xdr:rowOff>99059</xdr:rowOff>
    </xdr:to>
    <xdr:pic>
      <xdr:nvPicPr>
        <xdr:cNvPr id="40" name="Graphic 39" descr="Hourglass Finished with solid fill">
          <a:extLst>
            <a:ext uri="{FF2B5EF4-FFF2-40B4-BE49-F238E27FC236}">
              <a16:creationId xmlns:a16="http://schemas.microsoft.com/office/drawing/2014/main" id="{7001DEC2-7C9A-4D82-85B2-7097887FFA8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8140" y="2506980"/>
          <a:ext cx="155289" cy="152400"/>
        </a:xfrm>
        <a:prstGeom prst="rect">
          <a:avLst/>
        </a:prstGeom>
      </xdr:spPr>
    </xdr:pic>
    <xdr:clientData/>
  </xdr:twoCellAnchor>
  <xdr:twoCellAnchor editAs="oneCell">
    <xdr:from>
      <xdr:col>2</xdr:col>
      <xdr:colOff>60961</xdr:colOff>
      <xdr:row>18</xdr:row>
      <xdr:rowOff>144780</xdr:rowOff>
    </xdr:from>
    <xdr:to>
      <xdr:col>2</xdr:col>
      <xdr:colOff>266701</xdr:colOff>
      <xdr:row>19</xdr:row>
      <xdr:rowOff>151554</xdr:rowOff>
    </xdr:to>
    <xdr:pic>
      <xdr:nvPicPr>
        <xdr:cNvPr id="41" name="Graphic 40" descr="Rating Star with solid fill">
          <a:extLst>
            <a:ext uri="{FF2B5EF4-FFF2-40B4-BE49-F238E27FC236}">
              <a16:creationId xmlns:a16="http://schemas.microsoft.com/office/drawing/2014/main" id="{108676B5-206B-4DBB-9058-23B8805D39A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42901" y="3436620"/>
          <a:ext cx="205740" cy="198120"/>
        </a:xfrm>
        <a:prstGeom prst="rect">
          <a:avLst/>
        </a:prstGeom>
      </xdr:spPr>
    </xdr:pic>
    <xdr:clientData/>
  </xdr:twoCellAnchor>
  <xdr:twoCellAnchor editAs="oneCell">
    <xdr:from>
      <xdr:col>2</xdr:col>
      <xdr:colOff>68580</xdr:colOff>
      <xdr:row>24</xdr:row>
      <xdr:rowOff>91440</xdr:rowOff>
    </xdr:from>
    <xdr:to>
      <xdr:col>2</xdr:col>
      <xdr:colOff>250612</xdr:colOff>
      <xdr:row>25</xdr:row>
      <xdr:rowOff>83819</xdr:rowOff>
    </xdr:to>
    <xdr:pic>
      <xdr:nvPicPr>
        <xdr:cNvPr id="42" name="Graphic 41" descr="Star-struck face outline with solid fill">
          <a:extLst>
            <a:ext uri="{FF2B5EF4-FFF2-40B4-BE49-F238E27FC236}">
              <a16:creationId xmlns:a16="http://schemas.microsoft.com/office/drawing/2014/main" id="{06702DC1-348D-4816-B57D-2F2C4FE2881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0520" y="4480560"/>
          <a:ext cx="182032" cy="175260"/>
        </a:xfrm>
        <a:prstGeom prst="rect">
          <a:avLst/>
        </a:prstGeom>
      </xdr:spPr>
    </xdr:pic>
    <xdr:clientData/>
  </xdr:twoCellAnchor>
  <xdr:twoCellAnchor editAs="oneCell">
    <xdr:from>
      <xdr:col>11</xdr:col>
      <xdr:colOff>25400</xdr:colOff>
      <xdr:row>17</xdr:row>
      <xdr:rowOff>17779</xdr:rowOff>
    </xdr:from>
    <xdr:to>
      <xdr:col>13</xdr:col>
      <xdr:colOff>215900</xdr:colOff>
      <xdr:row>26</xdr:row>
      <xdr:rowOff>109219</xdr:rowOff>
    </xdr:to>
    <mc:AlternateContent xmlns:mc="http://schemas.openxmlformats.org/markup-compatibility/2006" xmlns:a14="http://schemas.microsoft.com/office/drawing/2010/main">
      <mc:Choice Requires="a14">
        <xdr:graphicFrame macro="">
          <xdr:nvGraphicFramePr>
            <xdr:cNvPr id="43" name="Representative 1">
              <a:extLst>
                <a:ext uri="{FF2B5EF4-FFF2-40B4-BE49-F238E27FC236}">
                  <a16:creationId xmlns:a16="http://schemas.microsoft.com/office/drawing/2014/main" id="{9FAC456C-4F9D-4C84-BC6D-71A9517098C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5880100" y="3465829"/>
              <a:ext cx="1536700" cy="1774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574887</xdr:colOff>
      <xdr:row>1</xdr:row>
      <xdr:rowOff>84667</xdr:rowOff>
    </xdr:from>
    <xdr:to>
      <xdr:col>10</xdr:col>
      <xdr:colOff>626534</xdr:colOff>
      <xdr:row>16</xdr:row>
      <xdr:rowOff>67734</xdr:rowOff>
    </xdr:to>
    <xdr:graphicFrame macro="">
      <xdr:nvGraphicFramePr>
        <xdr:cNvPr id="2" name="Chart 1">
          <a:extLst>
            <a:ext uri="{FF2B5EF4-FFF2-40B4-BE49-F238E27FC236}">
              <a16:creationId xmlns:a16="http://schemas.microsoft.com/office/drawing/2014/main" id="{C69E891E-FF52-4F9E-BF37-D840DB633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636693</xdr:colOff>
      <xdr:row>17</xdr:row>
      <xdr:rowOff>35560</xdr:rowOff>
    </xdr:from>
    <xdr:to>
      <xdr:col>7</xdr:col>
      <xdr:colOff>568113</xdr:colOff>
      <xdr:row>34</xdr:row>
      <xdr:rowOff>89747</xdr:rowOff>
    </xdr:to>
    <xdr:graphicFrame macro="">
      <xdr:nvGraphicFramePr>
        <xdr:cNvPr id="4" name="Chart 3">
          <a:extLst>
            <a:ext uri="{FF2B5EF4-FFF2-40B4-BE49-F238E27FC236}">
              <a16:creationId xmlns:a16="http://schemas.microsoft.com/office/drawing/2014/main" id="{14EA03BA-6E8A-4C64-97D7-7903BCF41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644314</xdr:colOff>
      <xdr:row>1</xdr:row>
      <xdr:rowOff>119380</xdr:rowOff>
    </xdr:from>
    <xdr:to>
      <xdr:col>21</xdr:col>
      <xdr:colOff>423333</xdr:colOff>
      <xdr:row>15</xdr:row>
      <xdr:rowOff>26246</xdr:rowOff>
    </xdr:to>
    <xdr:graphicFrame macro="">
      <xdr:nvGraphicFramePr>
        <xdr:cNvPr id="9" name="Chart 8">
          <a:extLst>
            <a:ext uri="{FF2B5EF4-FFF2-40B4-BE49-F238E27FC236}">
              <a16:creationId xmlns:a16="http://schemas.microsoft.com/office/drawing/2014/main" id="{2D558327-4F48-4237-8188-F8A592237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64346</xdr:colOff>
      <xdr:row>1</xdr:row>
      <xdr:rowOff>127846</xdr:rowOff>
    </xdr:from>
    <xdr:to>
      <xdr:col>17</xdr:col>
      <xdr:colOff>530013</xdr:colOff>
      <xdr:row>15</xdr:row>
      <xdr:rowOff>4232</xdr:rowOff>
    </xdr:to>
    <xdr:graphicFrame macro="">
      <xdr:nvGraphicFramePr>
        <xdr:cNvPr id="10" name="Chart 9">
          <a:extLst>
            <a:ext uri="{FF2B5EF4-FFF2-40B4-BE49-F238E27FC236}">
              <a16:creationId xmlns:a16="http://schemas.microsoft.com/office/drawing/2014/main" id="{7A8EBA18-56CF-49DA-B2CC-56A029C78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167640</xdr:colOff>
      <xdr:row>13</xdr:row>
      <xdr:rowOff>38101</xdr:rowOff>
    </xdr:from>
    <xdr:to>
      <xdr:col>10</xdr:col>
      <xdr:colOff>85997</xdr:colOff>
      <xdr:row>23</xdr:row>
      <xdr:rowOff>83821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318A95E6-8E10-894A-0886-34FDE61F375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935980" y="2415541"/>
              <a:ext cx="182880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38100</xdr:colOff>
      <xdr:row>10</xdr:row>
      <xdr:rowOff>141018</xdr:rowOff>
    </xdr:from>
    <xdr:to>
      <xdr:col>1</xdr:col>
      <xdr:colOff>447750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8660" y="2655618"/>
          <a:ext cx="409650" cy="39441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5.893506597225" backgroundQuery="1" createdVersion="8" refreshedVersion="8" minRefreshableVersion="3" recordCount="0" supportSubquery="1" supportAdvancedDrill="1" xr:uid="{371E4BC2-4A07-4D2E-B126-3863156B887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5.641038888891" backgroundQuery="1" createdVersion="8" refreshedVersion="8" minRefreshableVersion="3" recordCount="0" supportSubquery="1" supportAdvancedDrill="1" xr:uid="{A0C1D35E-E45D-4028-81E3-C77E5915A689}">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6.467719675929" backgroundQuery="1" createdVersion="8" refreshedVersion="8" minRefreshableVersion="3" recordCount="0" supportSubquery="1" supportAdvancedDrill="1" xr:uid="{6AC3C4DE-116C-49F9-B7DE-29C827F105B2}">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6.67970439815" backgroundQuery="1" createdVersion="8" refreshedVersion="8" minRefreshableVersion="3" recordCount="0" supportSubquery="1" supportAdvancedDrill="1" xr:uid="{A4EA8E2F-D13B-4F28-A126-0BF65FB4638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9060185186" backgroundQuery="1" createdVersion="8" refreshedVersion="8" minRefreshableVersion="3" recordCount="0" supportSubquery="1" supportAdvancedDrill="1" xr:uid="{2E4D1399-A605-4068-9ADD-A9876319835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9060763886" backgroundQuery="1" createdVersion="8" refreshedVersion="8" minRefreshableVersion="3" recordCount="0" supportSubquery="1" supportAdvancedDrill="1" xr:uid="{E3D3F2AB-194E-459E-B89F-7F08F314A02D}">
  <cacheSource type="external" connectionId="1"/>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9061111109" backgroundQuery="1" createdVersion="8" refreshedVersion="8" minRefreshableVersion="3" recordCount="0" supportSubquery="1" supportAdvancedDrill="1" xr:uid="{9309E721-6487-4997-9AF8-F055F621689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9061689817" backgroundQuery="1" createdVersion="8" refreshedVersion="8" minRefreshableVersion="3" recordCount="0" supportSubquery="1" supportAdvancedDrill="1" xr:uid="{39C48786-BC05-4473-9A92-DAC5D60EED17}">
  <cacheSource type="external" connectionId="1"/>
  <cacheFields count="1">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9062384256" backgroundQuery="1" createdVersion="8" refreshedVersion="8" minRefreshableVersion="3" recordCount="0" supportSubquery="1" supportAdvancedDrill="1" xr:uid="{D24D3777-22FC-4A1B-B4F6-D270990E8A46}">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5.641033796295" backgroundQuery="1" createdVersion="3" refreshedVersion="8" minRefreshableVersion="3" recordCount="0" supportSubquery="1" supportAdvancedDrill="1" xr:uid="{46AD3452-3C48-48D4-B211-DD90FE9D517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446352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52671C-2A27-4549-AC5B-5E9E0A1E4925}" name="PivotTable4" cacheId="123"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3">
  <location ref="E20:F28"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C4A784-3B75-466D-A058-E359501B1590}" name="PivotTable7" cacheId="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83:G10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37497-6B08-4DC3-9D7C-CF69667083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516803-A15A-4E82-B4C9-70741FD9E2FB}" name="PivotTable1" cacheId="1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20:C33"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3">
    <chartFormat chart="23" format="5" series="1">
      <pivotArea type="data" outline="0" fieldPosition="0">
        <references count="1">
          <reference field="4294967294"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9"/>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F4C2DA-7194-44C3-B620-61F1AAFFA8E5}" name="pivote 6" cacheId="12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66:E71"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3">
    <format dxfId="3">
      <pivotArea dataOnly="0" labelOnly="1" fieldPosition="0">
        <references count="1">
          <reference field="0" count="0"/>
        </references>
      </pivotArea>
    </format>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F0D698-16A9-40FE-9F17-5E6D2C286078}" name="PivotTable3"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BCBF39-1E9C-4051-AAE9-6595E720F1F3}" name="PivotTable9"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G74:H8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3">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4"/>
          </reference>
        </references>
      </pivotArea>
    </chartFormat>
    <chartFormat chart="15" format="3"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B98943-4AB9-4503-84D8-D1369069EDC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5A5CC9-D98E-4B8A-B592-B658670E8C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5:D8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4" format="10" series="1">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3">
          <reference field="4294967294" count="1" selected="0">
            <x v="0"/>
          </reference>
          <reference field="0" count="1" selected="0">
            <x v="0"/>
          </reference>
          <reference field="1" count="1" selected="0">
            <x v="0"/>
          </reference>
        </references>
      </pivotArea>
    </chartFormat>
    <chartFormat chart="4" format="12">
      <pivotArea type="data" outline="0" fieldPosition="0">
        <references count="3">
          <reference field="4294967294" count="1" selected="0">
            <x v="0"/>
          </reference>
          <reference field="0" count="1" selected="0">
            <x v="1"/>
          </reference>
          <reference field="1" count="1" selected="0">
            <x v="0"/>
          </reference>
        </references>
      </pivotArea>
    </chartFormat>
    <chartFormat chart="4" format="13">
      <pivotArea type="data" outline="0" fieldPosition="0">
        <references count="3">
          <reference field="4294967294" count="1" selected="0">
            <x v="0"/>
          </reference>
          <reference field="0" count="1" selected="0">
            <x v="2"/>
          </reference>
          <reference field="1" count="1" selected="0">
            <x v="0"/>
          </reference>
        </references>
      </pivotArea>
    </chartFormat>
    <chartFormat chart="4" format="14"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A9ABEB9-827E-4463-AFF3-69C4877FA350}" sourceName="[calls].[Representative]">
  <pivotTables>
    <pivotTable tabId="7" name="PivotTable3"/>
    <pivotTable tabId="7" name="PivotTable1"/>
    <pivotTable tabId="7" name="PivotTable4"/>
    <pivotTable tabId="7" name="pivote 6"/>
    <pivotTable tabId="7" name="PivotTable9"/>
  </pivotTables>
  <data>
    <olap pivotCacheId="184463527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324D65E-BEAD-4AE3-887B-8A0D40FC33E6}" cache="Slicer_Representative" caption="Representative" level="1" style="SlicerStyleDark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E620292-5FA9-4281-8DD6-FD33FE85A08D}"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G7" sqref="G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20" customFormat="1" ht="48" customHeight="1" x14ac:dyDescent="0.3">
      <c r="B1" s="19" t="s">
        <v>1003</v>
      </c>
    </row>
    <row r="2" spans="2:20" x14ac:dyDescent="0.3">
      <c r="R2" s="1"/>
    </row>
    <row r="3" spans="2:20" x14ac:dyDescent="0.3">
      <c r="B3" s="12" t="s">
        <v>25</v>
      </c>
      <c r="C3" s="12" t="s">
        <v>0</v>
      </c>
      <c r="D3" s="13" t="s">
        <v>1</v>
      </c>
      <c r="E3" s="14" t="s">
        <v>3</v>
      </c>
      <c r="F3" s="14" t="s">
        <v>4</v>
      </c>
      <c r="G3" s="12" t="s">
        <v>2</v>
      </c>
      <c r="H3" s="12" t="s">
        <v>994</v>
      </c>
      <c r="I3" t="s">
        <v>1036</v>
      </c>
      <c r="J3" t="s">
        <v>1037</v>
      </c>
      <c r="K3" t="s">
        <v>1038</v>
      </c>
      <c r="L3" t="s">
        <v>1039</v>
      </c>
      <c r="Q3" s="6" t="s">
        <v>0</v>
      </c>
      <c r="R3" s="7" t="s">
        <v>995</v>
      </c>
      <c r="S3" s="7" t="s">
        <v>996</v>
      </c>
      <c r="T3" s="8" t="s">
        <v>997</v>
      </c>
    </row>
    <row r="4" spans="2:20" x14ac:dyDescent="0.3">
      <c r="B4" t="s">
        <v>26</v>
      </c>
      <c r="C4" t="s">
        <v>20</v>
      </c>
      <c r="D4">
        <v>116</v>
      </c>
      <c r="E4" s="15" t="s">
        <v>10</v>
      </c>
      <c r="F4" s="16">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4" t="s">
        <v>17</v>
      </c>
      <c r="R4" s="3" t="s">
        <v>998</v>
      </c>
      <c r="S4" s="2">
        <v>41</v>
      </c>
      <c r="T4" s="5" t="s">
        <v>1000</v>
      </c>
    </row>
    <row r="5" spans="2:20" x14ac:dyDescent="0.3">
      <c r="B5" t="s">
        <v>27</v>
      </c>
      <c r="C5" t="s">
        <v>12</v>
      </c>
      <c r="D5">
        <v>119</v>
      </c>
      <c r="E5" s="15" t="s">
        <v>10</v>
      </c>
      <c r="F5" s="16">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4" t="s">
        <v>24</v>
      </c>
      <c r="R5" s="3" t="s">
        <v>998</v>
      </c>
      <c r="S5" s="2">
        <v>31</v>
      </c>
      <c r="T5" s="5" t="s">
        <v>1001</v>
      </c>
    </row>
    <row r="6" spans="2:20" x14ac:dyDescent="0.3">
      <c r="B6" t="s">
        <v>28</v>
      </c>
      <c r="C6" t="s">
        <v>23</v>
      </c>
      <c r="D6">
        <v>68</v>
      </c>
      <c r="E6" s="15" t="s">
        <v>9</v>
      </c>
      <c r="F6" s="16">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4" t="s">
        <v>20</v>
      </c>
      <c r="R6" s="3" t="s">
        <v>998</v>
      </c>
      <c r="S6" s="2">
        <v>26</v>
      </c>
      <c r="T6" s="5" t="s">
        <v>1002</v>
      </c>
    </row>
    <row r="7" spans="2:20" x14ac:dyDescent="0.3">
      <c r="B7" t="s">
        <v>29</v>
      </c>
      <c r="C7" t="s">
        <v>21</v>
      </c>
      <c r="D7">
        <v>119</v>
      </c>
      <c r="E7" s="15" t="s">
        <v>9</v>
      </c>
      <c r="F7" s="16">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4" t="s">
        <v>12</v>
      </c>
      <c r="R7" s="3" t="s">
        <v>998</v>
      </c>
      <c r="S7" s="2">
        <v>36</v>
      </c>
      <c r="T7" s="5" t="s">
        <v>1002</v>
      </c>
    </row>
    <row r="8" spans="2:20" x14ac:dyDescent="0.3">
      <c r="B8" t="s">
        <v>30</v>
      </c>
      <c r="C8" t="s">
        <v>8</v>
      </c>
      <c r="D8">
        <v>128</v>
      </c>
      <c r="E8" s="15" t="s">
        <v>11</v>
      </c>
      <c r="F8" s="16">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4" t="s">
        <v>23</v>
      </c>
      <c r="R8" s="3" t="s">
        <v>998</v>
      </c>
      <c r="S8" s="2">
        <v>37</v>
      </c>
      <c r="T8" s="5" t="s">
        <v>1000</v>
      </c>
    </row>
    <row r="9" spans="2:20" x14ac:dyDescent="0.3">
      <c r="B9" t="s">
        <v>31</v>
      </c>
      <c r="C9" t="s">
        <v>8</v>
      </c>
      <c r="D9">
        <v>49</v>
      </c>
      <c r="E9" s="15" t="s">
        <v>9</v>
      </c>
      <c r="F9" s="16">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4" t="s">
        <v>7</v>
      </c>
      <c r="R9" s="3" t="s">
        <v>998</v>
      </c>
      <c r="S9" s="2">
        <v>23</v>
      </c>
      <c r="T9" s="5" t="s">
        <v>1000</v>
      </c>
    </row>
    <row r="10" spans="2:20" x14ac:dyDescent="0.3">
      <c r="B10" t="s">
        <v>32</v>
      </c>
      <c r="C10" t="s">
        <v>15</v>
      </c>
      <c r="D10">
        <v>84</v>
      </c>
      <c r="E10" s="15" t="s">
        <v>10</v>
      </c>
      <c r="F10" s="16">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4" t="s">
        <v>15</v>
      </c>
      <c r="R10" s="3" t="s">
        <v>999</v>
      </c>
      <c r="S10" s="2">
        <v>22</v>
      </c>
      <c r="T10" s="5" t="s">
        <v>1001</v>
      </c>
    </row>
    <row r="11" spans="2:20" x14ac:dyDescent="0.3">
      <c r="B11" t="s">
        <v>33</v>
      </c>
      <c r="C11" t="s">
        <v>20</v>
      </c>
      <c r="D11">
        <v>103</v>
      </c>
      <c r="E11" s="15" t="s">
        <v>13</v>
      </c>
      <c r="F11" s="16">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4" t="s">
        <v>5</v>
      </c>
      <c r="R11" s="3" t="s">
        <v>999</v>
      </c>
      <c r="S11" s="2">
        <v>42</v>
      </c>
      <c r="T11" s="5" t="s">
        <v>1001</v>
      </c>
    </row>
    <row r="12" spans="2:20" x14ac:dyDescent="0.3">
      <c r="B12" t="s">
        <v>34</v>
      </c>
      <c r="C12" t="s">
        <v>23</v>
      </c>
      <c r="D12">
        <v>31</v>
      </c>
      <c r="E12" s="15" t="s">
        <v>9</v>
      </c>
      <c r="F12" s="16">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4" t="s">
        <v>22</v>
      </c>
      <c r="R12" s="3" t="s">
        <v>999</v>
      </c>
      <c r="S12" s="2">
        <v>25</v>
      </c>
      <c r="T12" s="5" t="s">
        <v>1000</v>
      </c>
    </row>
    <row r="13" spans="2:20" x14ac:dyDescent="0.3">
      <c r="B13" t="s">
        <v>35</v>
      </c>
      <c r="C13" t="s">
        <v>18</v>
      </c>
      <c r="D13">
        <v>44</v>
      </c>
      <c r="E13" s="15" t="s">
        <v>6</v>
      </c>
      <c r="F13" s="16">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4" t="s">
        <v>18</v>
      </c>
      <c r="R13" s="3" t="s">
        <v>999</v>
      </c>
      <c r="S13" s="2">
        <v>30</v>
      </c>
      <c r="T13" s="5" t="s">
        <v>1001</v>
      </c>
    </row>
    <row r="14" spans="2:20" x14ac:dyDescent="0.3">
      <c r="B14" t="s">
        <v>36</v>
      </c>
      <c r="C14" t="s">
        <v>8</v>
      </c>
      <c r="D14">
        <v>102</v>
      </c>
      <c r="E14" s="15" t="s">
        <v>9</v>
      </c>
      <c r="F14" s="16">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4" t="s">
        <v>8</v>
      </c>
      <c r="R14" s="3" t="s">
        <v>999</v>
      </c>
      <c r="S14" s="2">
        <v>30</v>
      </c>
      <c r="T14" s="5" t="s">
        <v>1002</v>
      </c>
    </row>
    <row r="15" spans="2:20" x14ac:dyDescent="0.3">
      <c r="B15" t="s">
        <v>37</v>
      </c>
      <c r="C15" t="s">
        <v>14</v>
      </c>
      <c r="D15">
        <v>135</v>
      </c>
      <c r="E15" s="15" t="s">
        <v>10</v>
      </c>
      <c r="F15" s="16">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4" t="s">
        <v>16</v>
      </c>
      <c r="R15" s="3" t="s">
        <v>999</v>
      </c>
      <c r="S15" s="2">
        <v>28</v>
      </c>
      <c r="T15" s="5" t="s">
        <v>1002</v>
      </c>
    </row>
    <row r="16" spans="2:20" x14ac:dyDescent="0.3">
      <c r="B16" t="s">
        <v>38</v>
      </c>
      <c r="C16" t="s">
        <v>24</v>
      </c>
      <c r="D16">
        <v>98</v>
      </c>
      <c r="E16" s="15" t="s">
        <v>9</v>
      </c>
      <c r="F16" s="16">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4" t="s">
        <v>14</v>
      </c>
      <c r="R16" s="3" t="s">
        <v>999</v>
      </c>
      <c r="S16" s="2">
        <v>37</v>
      </c>
      <c r="T16" s="5" t="s">
        <v>1001</v>
      </c>
    </row>
    <row r="17" spans="2:20" x14ac:dyDescent="0.3">
      <c r="B17" t="s">
        <v>39</v>
      </c>
      <c r="C17" t="s">
        <v>18</v>
      </c>
      <c r="D17">
        <v>139</v>
      </c>
      <c r="E17" s="15" t="s">
        <v>9</v>
      </c>
      <c r="F17" s="16">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4" t="s">
        <v>21</v>
      </c>
      <c r="R17" s="3" t="s">
        <v>999</v>
      </c>
      <c r="S17" s="2">
        <v>38</v>
      </c>
      <c r="T17" s="5" t="s">
        <v>1000</v>
      </c>
    </row>
    <row r="18" spans="2:20" x14ac:dyDescent="0.3">
      <c r="B18" t="s">
        <v>40</v>
      </c>
      <c r="C18" t="s">
        <v>14</v>
      </c>
      <c r="D18">
        <v>48</v>
      </c>
      <c r="E18" s="15" t="s">
        <v>11</v>
      </c>
      <c r="F18" s="16">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9" t="s">
        <v>19</v>
      </c>
      <c r="R18" s="17" t="s">
        <v>999</v>
      </c>
      <c r="S18" s="10">
        <v>43</v>
      </c>
      <c r="T18" s="11" t="s">
        <v>1001</v>
      </c>
    </row>
    <row r="19" spans="2:20" x14ac:dyDescent="0.3">
      <c r="B19" t="s">
        <v>41</v>
      </c>
      <c r="C19" t="s">
        <v>18</v>
      </c>
      <c r="D19">
        <v>176</v>
      </c>
      <c r="E19" s="15" t="s">
        <v>10</v>
      </c>
      <c r="F19" s="16">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5" t="s">
        <v>11</v>
      </c>
      <c r="F20" s="16">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5" t="s">
        <v>6</v>
      </c>
      <c r="F21" s="16">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5" t="s">
        <v>9</v>
      </c>
      <c r="F22" s="16">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5" t="s">
        <v>10</v>
      </c>
      <c r="F23" s="16">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5" t="s">
        <v>10</v>
      </c>
      <c r="F24" s="16">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5" t="s">
        <v>13</v>
      </c>
      <c r="F25" s="16">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5" t="s">
        <v>13</v>
      </c>
      <c r="F26" s="16">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5" t="s">
        <v>9</v>
      </c>
      <c r="F27" s="16">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5" t="s">
        <v>11</v>
      </c>
      <c r="F28" s="16">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5" t="s">
        <v>10</v>
      </c>
      <c r="F29" s="16">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5" t="s">
        <v>10</v>
      </c>
      <c r="F30" s="16">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5" t="s">
        <v>10</v>
      </c>
      <c r="F31" s="16">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5" t="s">
        <v>13</v>
      </c>
      <c r="F32" s="16">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5" t="s">
        <v>11</v>
      </c>
      <c r="F33" s="16">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5" t="s">
        <v>10</v>
      </c>
      <c r="F34" s="16">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5" t="s">
        <v>10</v>
      </c>
      <c r="F35" s="16">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5" t="s">
        <v>11</v>
      </c>
      <c r="F36" s="16">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5" t="s">
        <v>9</v>
      </c>
      <c r="F37" s="16">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5" t="s">
        <v>10</v>
      </c>
      <c r="F38" s="16">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5" t="s">
        <v>6</v>
      </c>
      <c r="F39" s="16">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5" t="s">
        <v>6</v>
      </c>
      <c r="F40" s="16">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5" t="s">
        <v>9</v>
      </c>
      <c r="F41" s="16">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5" t="s">
        <v>13</v>
      </c>
      <c r="F42" s="16">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5" t="s">
        <v>10</v>
      </c>
      <c r="F43" s="16">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5" t="s">
        <v>13</v>
      </c>
      <c r="F44" s="16">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5" t="s">
        <v>9</v>
      </c>
      <c r="F45" s="16">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5" t="s">
        <v>10</v>
      </c>
      <c r="F46" s="16">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5" t="s">
        <v>6</v>
      </c>
      <c r="F47" s="16">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5" t="s">
        <v>11</v>
      </c>
      <c r="F48" s="16">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5" t="s">
        <v>6</v>
      </c>
      <c r="F49" s="16">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5" t="s">
        <v>11</v>
      </c>
      <c r="F50" s="16">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5" t="s">
        <v>10</v>
      </c>
      <c r="F51" s="16">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5" t="s">
        <v>9</v>
      </c>
      <c r="F52" s="16">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5" t="s">
        <v>9</v>
      </c>
      <c r="F53" s="16">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5" t="s">
        <v>11</v>
      </c>
      <c r="F54" s="16">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5" t="s">
        <v>13</v>
      </c>
      <c r="F55" s="16">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5" t="s">
        <v>6</v>
      </c>
      <c r="F56" s="16">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5" t="s">
        <v>11</v>
      </c>
      <c r="F57" s="16">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5" t="s">
        <v>10</v>
      </c>
      <c r="F58" s="16">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5" t="s">
        <v>11</v>
      </c>
      <c r="F59" s="16">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5" t="s">
        <v>9</v>
      </c>
      <c r="F60" s="16">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5" t="s">
        <v>9</v>
      </c>
      <c r="F61" s="16">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5" t="s">
        <v>10</v>
      </c>
      <c r="F62" s="16">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5" t="s">
        <v>9</v>
      </c>
      <c r="F63" s="16">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5" t="s">
        <v>11</v>
      </c>
      <c r="F64" s="16">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5" t="s">
        <v>13</v>
      </c>
      <c r="F65" s="16">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5" t="s">
        <v>6</v>
      </c>
      <c r="F66" s="16">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5" t="s">
        <v>10</v>
      </c>
      <c r="F67" s="16">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5" t="s">
        <v>13</v>
      </c>
      <c r="F68" s="16">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5" t="s">
        <v>9</v>
      </c>
      <c r="F69" s="16">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5" t="s">
        <v>10</v>
      </c>
      <c r="F70" s="16">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5" t="s">
        <v>13</v>
      </c>
      <c r="F71" s="16">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5" t="s">
        <v>11</v>
      </c>
      <c r="F72" s="16">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5" t="s">
        <v>6</v>
      </c>
      <c r="F73" s="16">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5" t="s">
        <v>6</v>
      </c>
      <c r="F74" s="16">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5" t="s">
        <v>11</v>
      </c>
      <c r="F75" s="16">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5" t="s">
        <v>11</v>
      </c>
      <c r="F76" s="16">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5" t="s">
        <v>6</v>
      </c>
      <c r="F77" s="16">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5" t="s">
        <v>11</v>
      </c>
      <c r="F78" s="16">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5" t="s">
        <v>6</v>
      </c>
      <c r="F79" s="16">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5" t="s">
        <v>9</v>
      </c>
      <c r="F80" s="16">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5" t="s">
        <v>6</v>
      </c>
      <c r="F81" s="16">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5" t="s">
        <v>10</v>
      </c>
      <c r="F82" s="16">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5" t="s">
        <v>6</v>
      </c>
      <c r="F83" s="16">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5" t="s">
        <v>13</v>
      </c>
      <c r="F84" s="16">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5" t="s">
        <v>6</v>
      </c>
      <c r="F85" s="16">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5" t="s">
        <v>10</v>
      </c>
      <c r="F86" s="16">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5" t="s">
        <v>10</v>
      </c>
      <c r="F87" s="16">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5" t="s">
        <v>13</v>
      </c>
      <c r="F88" s="16">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5" t="s">
        <v>10</v>
      </c>
      <c r="F89" s="16">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5" t="s">
        <v>10</v>
      </c>
      <c r="F90" s="16">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5" t="s">
        <v>9</v>
      </c>
      <c r="F91" s="16">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5" t="s">
        <v>11</v>
      </c>
      <c r="F92" s="16">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5" t="s">
        <v>11</v>
      </c>
      <c r="F93" s="16">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5" t="s">
        <v>10</v>
      </c>
      <c r="F94" s="16">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5" t="s">
        <v>11</v>
      </c>
      <c r="F95" s="16">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5" t="s">
        <v>13</v>
      </c>
      <c r="F96" s="16">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5" t="s">
        <v>9</v>
      </c>
      <c r="F97" s="16">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5" t="s">
        <v>9</v>
      </c>
      <c r="F98" s="16">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5" t="s">
        <v>10</v>
      </c>
      <c r="F99" s="16">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5" t="s">
        <v>9</v>
      </c>
      <c r="F100" s="16">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5" t="s">
        <v>6</v>
      </c>
      <c r="F101" s="16">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5" t="s">
        <v>10</v>
      </c>
      <c r="F102" s="16">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5" t="s">
        <v>6</v>
      </c>
      <c r="F103" s="16">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5" t="s">
        <v>10</v>
      </c>
      <c r="F104" s="16">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5" t="s">
        <v>11</v>
      </c>
      <c r="F105" s="16">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5" t="s">
        <v>13</v>
      </c>
      <c r="F106" s="16">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5" t="s">
        <v>11</v>
      </c>
      <c r="F107" s="16">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5" t="s">
        <v>9</v>
      </c>
      <c r="F108" s="16">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5" t="s">
        <v>6</v>
      </c>
      <c r="F109" s="16">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5" t="s">
        <v>13</v>
      </c>
      <c r="F110" s="16">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5" t="s">
        <v>11</v>
      </c>
      <c r="F111" s="16">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5" t="s">
        <v>6</v>
      </c>
      <c r="F112" s="16">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5" t="s">
        <v>13</v>
      </c>
      <c r="F113" s="16">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5" t="s">
        <v>9</v>
      </c>
      <c r="F114" s="16">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5" t="s">
        <v>6</v>
      </c>
      <c r="F115" s="16">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5" t="s">
        <v>11</v>
      </c>
      <c r="F116" s="16">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5" t="s">
        <v>13</v>
      </c>
      <c r="F117" s="16">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5" t="s">
        <v>11</v>
      </c>
      <c r="F118" s="16">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5" t="s">
        <v>6</v>
      </c>
      <c r="F119" s="16">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5" t="s">
        <v>6</v>
      </c>
      <c r="F120" s="16">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5" t="s">
        <v>10</v>
      </c>
      <c r="F121" s="16">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5" t="s">
        <v>9</v>
      </c>
      <c r="F122" s="16">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5" t="s">
        <v>6</v>
      </c>
      <c r="F123" s="16">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5" t="s">
        <v>10</v>
      </c>
      <c r="F124" s="16">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5" t="s">
        <v>10</v>
      </c>
      <c r="F125" s="16">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5" t="s">
        <v>9</v>
      </c>
      <c r="F126" s="16">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5" t="s">
        <v>9</v>
      </c>
      <c r="F127" s="16">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5" t="s">
        <v>10</v>
      </c>
      <c r="F128" s="16">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5" t="s">
        <v>11</v>
      </c>
      <c r="F129" s="16">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5" t="s">
        <v>11</v>
      </c>
      <c r="F130" s="16">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5" t="s">
        <v>10</v>
      </c>
      <c r="F131" s="16">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5" t="s">
        <v>13</v>
      </c>
      <c r="F132" s="16">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5" t="s">
        <v>10</v>
      </c>
      <c r="F133" s="16">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5" t="s">
        <v>6</v>
      </c>
      <c r="F134" s="16">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5" t="s">
        <v>11</v>
      </c>
      <c r="F135" s="16">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5" t="s">
        <v>13</v>
      </c>
      <c r="F136" s="16">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5" t="s">
        <v>9</v>
      </c>
      <c r="F137" s="16">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5" t="s">
        <v>10</v>
      </c>
      <c r="F138" s="16">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5" t="s">
        <v>6</v>
      </c>
      <c r="F139" s="16">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5" t="s">
        <v>10</v>
      </c>
      <c r="F140" s="16">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5" t="s">
        <v>13</v>
      </c>
      <c r="F141" s="16">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5" t="s">
        <v>11</v>
      </c>
      <c r="F142" s="16">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5" t="s">
        <v>10</v>
      </c>
      <c r="F143" s="16">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5" t="s">
        <v>11</v>
      </c>
      <c r="F144" s="16">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5" t="s">
        <v>10</v>
      </c>
      <c r="F145" s="16">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5" t="s">
        <v>13</v>
      </c>
      <c r="F146" s="16">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5" t="s">
        <v>6</v>
      </c>
      <c r="F147" s="16">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5" t="s">
        <v>11</v>
      </c>
      <c r="F148" s="16">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5" t="s">
        <v>6</v>
      </c>
      <c r="F149" s="16">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5" t="s">
        <v>13</v>
      </c>
      <c r="F150" s="16">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5" t="s">
        <v>9</v>
      </c>
      <c r="F151" s="16">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5" t="s">
        <v>6</v>
      </c>
      <c r="F152" s="16">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5" t="s">
        <v>11</v>
      </c>
      <c r="F153" s="16">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5" t="s">
        <v>13</v>
      </c>
      <c r="F154" s="16">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5" t="s">
        <v>13</v>
      </c>
      <c r="F155" s="16">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5" t="s">
        <v>13</v>
      </c>
      <c r="F156" s="16">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5" t="s">
        <v>6</v>
      </c>
      <c r="F157" s="16">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5" t="s">
        <v>11</v>
      </c>
      <c r="F158" s="16">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5" t="s">
        <v>9</v>
      </c>
      <c r="F159" s="16">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5" t="s">
        <v>9</v>
      </c>
      <c r="F160" s="16">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5" t="s">
        <v>9</v>
      </c>
      <c r="F161" s="16">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5" t="s">
        <v>10</v>
      </c>
      <c r="F162" s="16">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5" t="s">
        <v>10</v>
      </c>
      <c r="F163" s="16">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5" t="s">
        <v>11</v>
      </c>
      <c r="F164" s="16">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5" t="s">
        <v>9</v>
      </c>
      <c r="F165" s="16">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5" t="s">
        <v>10</v>
      </c>
      <c r="F166" s="16">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5" t="s">
        <v>9</v>
      </c>
      <c r="F167" s="16">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5" t="s">
        <v>6</v>
      </c>
      <c r="F168" s="16">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5" t="s">
        <v>11</v>
      </c>
      <c r="F169" s="16">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5" t="s">
        <v>6</v>
      </c>
      <c r="F170" s="16">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5" t="s">
        <v>9</v>
      </c>
      <c r="F171" s="16">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5" t="s">
        <v>11</v>
      </c>
      <c r="F172" s="16">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5" t="s">
        <v>6</v>
      </c>
      <c r="F173" s="16">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5" t="s">
        <v>13</v>
      </c>
      <c r="F174" s="16">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5" t="s">
        <v>6</v>
      </c>
      <c r="F175" s="16">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5" t="s">
        <v>9</v>
      </c>
      <c r="F176" s="16">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5" t="s">
        <v>10</v>
      </c>
      <c r="F177" s="16">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5" t="s">
        <v>11</v>
      </c>
      <c r="F178" s="16">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5" t="s">
        <v>6</v>
      </c>
      <c r="F179" s="16">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5" t="s">
        <v>10</v>
      </c>
      <c r="F180" s="16">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5" t="s">
        <v>9</v>
      </c>
      <c r="F181" s="16">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5" t="s">
        <v>11</v>
      </c>
      <c r="F182" s="16">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5" t="s">
        <v>13</v>
      </c>
      <c r="F183" s="16">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5" t="s">
        <v>13</v>
      </c>
      <c r="F184" s="16">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5" t="s">
        <v>9</v>
      </c>
      <c r="F185" s="16">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5" t="s">
        <v>9</v>
      </c>
      <c r="F186" s="16">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5" t="s">
        <v>10</v>
      </c>
      <c r="F187" s="16">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5" t="s">
        <v>10</v>
      </c>
      <c r="F188" s="16">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5" t="s">
        <v>10</v>
      </c>
      <c r="F189" s="16">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5" t="s">
        <v>13</v>
      </c>
      <c r="F190" s="16">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5" t="s">
        <v>11</v>
      </c>
      <c r="F191" s="16">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5" t="s">
        <v>6</v>
      </c>
      <c r="F192" s="16">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5" t="s">
        <v>9</v>
      </c>
      <c r="F193" s="16">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5" t="s">
        <v>10</v>
      </c>
      <c r="F194" s="16">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5" t="s">
        <v>6</v>
      </c>
      <c r="F195" s="16">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5" t="s">
        <v>11</v>
      </c>
      <c r="F196" s="16">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5" t="s">
        <v>13</v>
      </c>
      <c r="F197" s="16">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5" t="s">
        <v>10</v>
      </c>
      <c r="F198" s="16">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5" t="s">
        <v>13</v>
      </c>
      <c r="F199" s="16">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5" t="s">
        <v>9</v>
      </c>
      <c r="F200" s="16">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5" t="s">
        <v>13</v>
      </c>
      <c r="F201" s="16">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5" t="s">
        <v>13</v>
      </c>
      <c r="F202" s="16">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5" t="s">
        <v>11</v>
      </c>
      <c r="F203" s="16">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5" t="s">
        <v>10</v>
      </c>
      <c r="F204" s="16">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5" t="s">
        <v>6</v>
      </c>
      <c r="F205" s="16">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5" t="s">
        <v>13</v>
      </c>
      <c r="F206" s="16">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5" t="s">
        <v>13</v>
      </c>
      <c r="F207" s="16">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5" t="s">
        <v>10</v>
      </c>
      <c r="F208" s="16">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5" t="s">
        <v>13</v>
      </c>
      <c r="F209" s="16">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5" t="s">
        <v>6</v>
      </c>
      <c r="F210" s="16">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5" t="s">
        <v>9</v>
      </c>
      <c r="F211" s="16">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5" t="s">
        <v>13</v>
      </c>
      <c r="F212" s="16">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5" t="s">
        <v>11</v>
      </c>
      <c r="F213" s="16">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5" t="s">
        <v>10</v>
      </c>
      <c r="F214" s="16">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5" t="s">
        <v>10</v>
      </c>
      <c r="F215" s="16">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5" t="s">
        <v>6</v>
      </c>
      <c r="F216" s="16">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5" t="s">
        <v>11</v>
      </c>
      <c r="F217" s="16">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5" t="s">
        <v>13</v>
      </c>
      <c r="F218" s="16">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5" t="s">
        <v>9</v>
      </c>
      <c r="F219" s="16">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5" t="s">
        <v>13</v>
      </c>
      <c r="F220" s="16">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5" t="s">
        <v>6</v>
      </c>
      <c r="F221" s="16">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5" t="s">
        <v>6</v>
      </c>
      <c r="F222" s="16">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5" t="s">
        <v>9</v>
      </c>
      <c r="F223" s="16">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5" t="s">
        <v>10</v>
      </c>
      <c r="F224" s="16">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5" t="s">
        <v>13</v>
      </c>
      <c r="F225" s="16">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5" t="s">
        <v>13</v>
      </c>
      <c r="F226" s="16">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5" t="s">
        <v>10</v>
      </c>
      <c r="F227" s="16">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5" t="s">
        <v>9</v>
      </c>
      <c r="F228" s="16">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5" t="s">
        <v>9</v>
      </c>
      <c r="F229" s="16">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5" t="s">
        <v>9</v>
      </c>
      <c r="F230" s="16">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5" t="s">
        <v>6</v>
      </c>
      <c r="F231" s="16">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5" t="s">
        <v>13</v>
      </c>
      <c r="F232" s="16">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5" t="s">
        <v>10</v>
      </c>
      <c r="F233" s="16">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5" t="s">
        <v>9</v>
      </c>
      <c r="F234" s="16">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5" t="s">
        <v>10</v>
      </c>
      <c r="F235" s="16">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5" t="s">
        <v>9</v>
      </c>
      <c r="F236" s="16">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5" t="s">
        <v>9</v>
      </c>
      <c r="F237" s="16">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5" t="s">
        <v>9</v>
      </c>
      <c r="F238" s="16">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5" t="s">
        <v>9</v>
      </c>
      <c r="F239" s="16">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5" t="s">
        <v>11</v>
      </c>
      <c r="F240" s="16">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5" t="s">
        <v>10</v>
      </c>
      <c r="F241" s="16">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5" t="s">
        <v>13</v>
      </c>
      <c r="F242" s="16">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5" t="s">
        <v>9</v>
      </c>
      <c r="F243" s="16">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5" t="s">
        <v>6</v>
      </c>
      <c r="F244" s="16">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5" t="s">
        <v>11</v>
      </c>
      <c r="F245" s="16">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5" t="s">
        <v>9</v>
      </c>
      <c r="F246" s="16">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5" t="s">
        <v>11</v>
      </c>
      <c r="F247" s="16">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5" t="s">
        <v>11</v>
      </c>
      <c r="F248" s="16">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5" t="s">
        <v>11</v>
      </c>
      <c r="F249" s="16">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5" t="s">
        <v>11</v>
      </c>
      <c r="F250" s="16">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5" t="s">
        <v>9</v>
      </c>
      <c r="F251" s="16">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5" t="s">
        <v>10</v>
      </c>
      <c r="F252" s="16">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5" t="s">
        <v>9</v>
      </c>
      <c r="F253" s="16">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5" t="s">
        <v>10</v>
      </c>
      <c r="F254" s="16">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5" t="s">
        <v>6</v>
      </c>
      <c r="F255" s="16">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5" t="s">
        <v>11</v>
      </c>
      <c r="F256" s="16">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5" t="s">
        <v>6</v>
      </c>
      <c r="F257" s="16">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5" t="s">
        <v>6</v>
      </c>
      <c r="F258" s="16">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5" t="s">
        <v>11</v>
      </c>
      <c r="F259" s="16">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5" t="s">
        <v>9</v>
      </c>
      <c r="F260" s="16">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5" t="s">
        <v>13</v>
      </c>
      <c r="F261" s="16">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5" t="s">
        <v>10</v>
      </c>
      <c r="F262" s="16">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5" t="s">
        <v>11</v>
      </c>
      <c r="F263" s="16">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5" t="s">
        <v>6</v>
      </c>
      <c r="F264" s="16">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5" t="s">
        <v>9</v>
      </c>
      <c r="F265" s="16">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5" t="s">
        <v>6</v>
      </c>
      <c r="F266" s="16">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5" t="s">
        <v>13</v>
      </c>
      <c r="F267" s="16">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5" t="s">
        <v>9</v>
      </c>
      <c r="F268" s="16">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5" t="s">
        <v>9</v>
      </c>
      <c r="F269" s="16">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5" t="s">
        <v>13</v>
      </c>
      <c r="F270" s="16">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5" t="s">
        <v>13</v>
      </c>
      <c r="F271" s="16">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5" t="s">
        <v>6</v>
      </c>
      <c r="F272" s="16">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5" t="s">
        <v>10</v>
      </c>
      <c r="F273" s="16">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5" t="s">
        <v>9</v>
      </c>
      <c r="F274" s="16">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5" t="s">
        <v>6</v>
      </c>
      <c r="F275" s="16">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5" t="s">
        <v>10</v>
      </c>
      <c r="F276" s="16">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5" t="s">
        <v>6</v>
      </c>
      <c r="F277" s="16">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5" t="s">
        <v>9</v>
      </c>
      <c r="F278" s="16">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5" t="s">
        <v>10</v>
      </c>
      <c r="F279" s="16">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5" t="s">
        <v>11</v>
      </c>
      <c r="F280" s="16">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5" t="s">
        <v>10</v>
      </c>
      <c r="F281" s="16">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5" t="s">
        <v>13</v>
      </c>
      <c r="F282" s="16">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5" t="s">
        <v>9</v>
      </c>
      <c r="F283" s="16">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5" t="s">
        <v>10</v>
      </c>
      <c r="F284" s="16">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5" t="s">
        <v>13</v>
      </c>
      <c r="F285" s="16">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5" t="s">
        <v>11</v>
      </c>
      <c r="F286" s="16">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5" t="s">
        <v>9</v>
      </c>
      <c r="F287" s="16">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5" t="s">
        <v>6</v>
      </c>
      <c r="F288" s="16">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5" t="s">
        <v>13</v>
      </c>
      <c r="F289" s="16">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5" t="s">
        <v>11</v>
      </c>
      <c r="F290" s="16">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5" t="s">
        <v>9</v>
      </c>
      <c r="F291" s="16">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5" t="s">
        <v>9</v>
      </c>
      <c r="F292" s="16">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5" t="s">
        <v>9</v>
      </c>
      <c r="F293" s="16">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5" t="s">
        <v>11</v>
      </c>
      <c r="F294" s="16">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5" t="s">
        <v>6</v>
      </c>
      <c r="F295" s="16">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5" t="s">
        <v>9</v>
      </c>
      <c r="F296" s="16">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5" t="s">
        <v>10</v>
      </c>
      <c r="F297" s="16">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5" t="s">
        <v>13</v>
      </c>
      <c r="F298" s="16">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5" t="s">
        <v>10</v>
      </c>
      <c r="F299" s="16">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5" t="s">
        <v>6</v>
      </c>
      <c r="F300" s="16">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5" t="s">
        <v>10</v>
      </c>
      <c r="F301" s="16">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5" t="s">
        <v>11</v>
      </c>
      <c r="F302" s="16">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5" t="s">
        <v>10</v>
      </c>
      <c r="F303" s="16">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5" t="s">
        <v>9</v>
      </c>
      <c r="F304" s="16">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5" t="s">
        <v>11</v>
      </c>
      <c r="F305" s="16">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5" t="s">
        <v>9</v>
      </c>
      <c r="F306" s="16">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5" t="s">
        <v>11</v>
      </c>
      <c r="F307" s="16">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5" t="s">
        <v>9</v>
      </c>
      <c r="F308" s="16">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5" t="s">
        <v>10</v>
      </c>
      <c r="F309" s="16">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5" t="s">
        <v>6</v>
      </c>
      <c r="F310" s="16">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5" t="s">
        <v>13</v>
      </c>
      <c r="F311" s="16">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5" t="s">
        <v>13</v>
      </c>
      <c r="F312" s="16">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5" t="s">
        <v>6</v>
      </c>
      <c r="F313" s="16">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5" t="s">
        <v>9</v>
      </c>
      <c r="F314" s="16">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5" t="s">
        <v>9</v>
      </c>
      <c r="F315" s="16">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5" t="s">
        <v>11</v>
      </c>
      <c r="F316" s="16">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5" t="s">
        <v>9</v>
      </c>
      <c r="F317" s="16">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5" t="s">
        <v>6</v>
      </c>
      <c r="F318" s="16">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5" t="s">
        <v>11</v>
      </c>
      <c r="F319" s="16">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5" t="s">
        <v>9</v>
      </c>
      <c r="F320" s="16">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5" t="s">
        <v>9</v>
      </c>
      <c r="F321" s="16">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5" t="s">
        <v>10</v>
      </c>
      <c r="F322" s="16">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5" t="s">
        <v>6</v>
      </c>
      <c r="F323" s="16">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5" t="s">
        <v>6</v>
      </c>
      <c r="F324" s="16">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5" t="s">
        <v>6</v>
      </c>
      <c r="F325" s="16">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5" t="s">
        <v>10</v>
      </c>
      <c r="F326" s="16">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5" t="s">
        <v>9</v>
      </c>
      <c r="F327" s="16">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5" t="s">
        <v>9</v>
      </c>
      <c r="F328" s="16">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5" t="s">
        <v>9</v>
      </c>
      <c r="F329" s="16">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5" t="s">
        <v>13</v>
      </c>
      <c r="F330" s="16">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5" t="s">
        <v>6</v>
      </c>
      <c r="F331" s="16">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5" t="s">
        <v>11</v>
      </c>
      <c r="F332" s="16">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5" t="s">
        <v>13</v>
      </c>
      <c r="F333" s="16">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5" t="s">
        <v>10</v>
      </c>
      <c r="F334" s="16">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5" t="s">
        <v>6</v>
      </c>
      <c r="F335" s="16">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5" t="s">
        <v>10</v>
      </c>
      <c r="F336" s="16">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5" t="s">
        <v>9</v>
      </c>
      <c r="F337" s="16">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5" t="s">
        <v>13</v>
      </c>
      <c r="F338" s="16">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5" t="s">
        <v>9</v>
      </c>
      <c r="F339" s="16">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5" t="s">
        <v>9</v>
      </c>
      <c r="F340" s="16">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5" t="s">
        <v>9</v>
      </c>
      <c r="F341" s="16">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5" t="s">
        <v>9</v>
      </c>
      <c r="F342" s="16">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5" t="s">
        <v>10</v>
      </c>
      <c r="F343" s="16">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5" t="s">
        <v>13</v>
      </c>
      <c r="F344" s="16">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5" t="s">
        <v>13</v>
      </c>
      <c r="F345" s="16">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5" t="s">
        <v>9</v>
      </c>
      <c r="F346" s="16">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5" t="s">
        <v>13</v>
      </c>
      <c r="F347" s="16">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5" t="s">
        <v>13</v>
      </c>
      <c r="F348" s="16">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5" t="s">
        <v>13</v>
      </c>
      <c r="F349" s="16">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5" t="s">
        <v>10</v>
      </c>
      <c r="F350" s="16">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5" t="s">
        <v>6</v>
      </c>
      <c r="F351" s="16">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5" t="s">
        <v>10</v>
      </c>
      <c r="F352" s="16">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5" t="s">
        <v>9</v>
      </c>
      <c r="F353" s="16">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5" t="s">
        <v>9</v>
      </c>
      <c r="F354" s="16">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5" t="s">
        <v>9</v>
      </c>
      <c r="F355" s="16">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5" t="s">
        <v>13</v>
      </c>
      <c r="F356" s="16">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5" t="s">
        <v>13</v>
      </c>
      <c r="F357" s="16">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5" t="s">
        <v>9</v>
      </c>
      <c r="F358" s="16">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5" t="s">
        <v>9</v>
      </c>
      <c r="F359" s="16">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5" t="s">
        <v>10</v>
      </c>
      <c r="F360" s="16">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5" t="s">
        <v>10</v>
      </c>
      <c r="F361" s="16">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5" t="s">
        <v>11</v>
      </c>
      <c r="F362" s="16">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5" t="s">
        <v>9</v>
      </c>
      <c r="F363" s="16">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5" t="s">
        <v>10</v>
      </c>
      <c r="F364" s="16">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5" t="s">
        <v>11</v>
      </c>
      <c r="F365" s="16">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5" t="s">
        <v>6</v>
      </c>
      <c r="F366" s="16">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5" t="s">
        <v>6</v>
      </c>
      <c r="F367" s="16">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5" t="s">
        <v>11</v>
      </c>
      <c r="F368" s="16">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5" t="s">
        <v>6</v>
      </c>
      <c r="F369" s="16">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5" t="s">
        <v>6</v>
      </c>
      <c r="F370" s="16">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5" t="s">
        <v>13</v>
      </c>
      <c r="F371" s="16">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5" t="s">
        <v>11</v>
      </c>
      <c r="F372" s="16">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5" t="s">
        <v>9</v>
      </c>
      <c r="F373" s="16">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5" t="s">
        <v>11</v>
      </c>
      <c r="F374" s="16">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5" t="s">
        <v>13</v>
      </c>
      <c r="F375" s="16">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5" t="s">
        <v>10</v>
      </c>
      <c r="F376" s="16">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5" t="s">
        <v>6</v>
      </c>
      <c r="F377" s="16">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5" t="s">
        <v>9</v>
      </c>
      <c r="F378" s="16">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5" t="s">
        <v>9</v>
      </c>
      <c r="F379" s="16">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5" t="s">
        <v>10</v>
      </c>
      <c r="F380" s="16">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5" t="s">
        <v>10</v>
      </c>
      <c r="F381" s="16">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5" t="s">
        <v>11</v>
      </c>
      <c r="F382" s="16">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5" t="s">
        <v>11</v>
      </c>
      <c r="F383" s="16">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5" t="s">
        <v>9</v>
      </c>
      <c r="F384" s="16">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5" t="s">
        <v>6</v>
      </c>
      <c r="F385" s="16">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5" t="s">
        <v>11</v>
      </c>
      <c r="F386" s="16">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5" t="s">
        <v>6</v>
      </c>
      <c r="F387" s="16">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5" t="s">
        <v>9</v>
      </c>
      <c r="F388" s="16">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5" t="s">
        <v>11</v>
      </c>
      <c r="F389" s="16">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5" t="s">
        <v>11</v>
      </c>
      <c r="F390" s="16">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5" t="s">
        <v>11</v>
      </c>
      <c r="F391" s="16">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5" t="s">
        <v>10</v>
      </c>
      <c r="F392" s="16">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5" t="s">
        <v>9</v>
      </c>
      <c r="F393" s="16">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5" t="s">
        <v>10</v>
      </c>
      <c r="F394" s="16">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5" t="s">
        <v>6</v>
      </c>
      <c r="F395" s="16">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5" t="s">
        <v>13</v>
      </c>
      <c r="F396" s="16">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5" t="s">
        <v>11</v>
      </c>
      <c r="F397" s="16">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5" t="s">
        <v>6</v>
      </c>
      <c r="F398" s="16">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5" t="s">
        <v>11</v>
      </c>
      <c r="F399" s="16">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5" t="s">
        <v>9</v>
      </c>
      <c r="F400" s="16">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5" t="s">
        <v>11</v>
      </c>
      <c r="F401" s="16">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5" t="s">
        <v>11</v>
      </c>
      <c r="F402" s="16">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5" t="s">
        <v>13</v>
      </c>
      <c r="F403" s="16">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5" t="s">
        <v>10</v>
      </c>
      <c r="F404" s="16">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5" t="s">
        <v>11</v>
      </c>
      <c r="F405" s="16">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5" t="s">
        <v>13</v>
      </c>
      <c r="F406" s="16">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5" t="s">
        <v>11</v>
      </c>
      <c r="F407" s="16">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5" t="s">
        <v>11</v>
      </c>
      <c r="F408" s="16">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5" t="s">
        <v>6</v>
      </c>
      <c r="F409" s="16">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5" t="s">
        <v>9</v>
      </c>
      <c r="F410" s="16">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5" t="s">
        <v>11</v>
      </c>
      <c r="F411" s="16">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5" t="s">
        <v>9</v>
      </c>
      <c r="F412" s="16">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5" t="s">
        <v>13</v>
      </c>
      <c r="F413" s="16">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5" t="s">
        <v>6</v>
      </c>
      <c r="F414" s="16">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5" t="s">
        <v>6</v>
      </c>
      <c r="F415" s="16">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5" t="s">
        <v>11</v>
      </c>
      <c r="F416" s="16">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5" t="s">
        <v>6</v>
      </c>
      <c r="F417" s="16">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5" t="s">
        <v>6</v>
      </c>
      <c r="F418" s="16">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5" t="s">
        <v>9</v>
      </c>
      <c r="F419" s="16">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5" t="s">
        <v>9</v>
      </c>
      <c r="F420" s="16">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5" t="s">
        <v>9</v>
      </c>
      <c r="F421" s="16">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5" t="s">
        <v>9</v>
      </c>
      <c r="F422" s="16">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5" t="s">
        <v>11</v>
      </c>
      <c r="F423" s="16">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5" t="s">
        <v>10</v>
      </c>
      <c r="F424" s="16">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5" t="s">
        <v>11</v>
      </c>
      <c r="F425" s="16">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5" t="s">
        <v>11</v>
      </c>
      <c r="F426" s="16">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5" t="s">
        <v>9</v>
      </c>
      <c r="F427" s="16">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5" t="s">
        <v>13</v>
      </c>
      <c r="F428" s="16">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5" t="s">
        <v>10</v>
      </c>
      <c r="F429" s="16">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5" t="s">
        <v>10</v>
      </c>
      <c r="F430" s="16">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5" t="s">
        <v>13</v>
      </c>
      <c r="F431" s="16">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5" t="s">
        <v>9</v>
      </c>
      <c r="F432" s="16">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5" t="s">
        <v>6</v>
      </c>
      <c r="F433" s="16">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5" t="s">
        <v>9</v>
      </c>
      <c r="F434" s="16">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5" t="s">
        <v>13</v>
      </c>
      <c r="F435" s="16">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5" t="s">
        <v>11</v>
      </c>
      <c r="F436" s="16">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5" t="s">
        <v>9</v>
      </c>
      <c r="F437" s="16">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5" t="s">
        <v>13</v>
      </c>
      <c r="F438" s="16">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5" t="s">
        <v>13</v>
      </c>
      <c r="F439" s="16">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5" t="s">
        <v>9</v>
      </c>
      <c r="F440" s="16">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5" t="s">
        <v>11</v>
      </c>
      <c r="F441" s="16">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5" t="s">
        <v>6</v>
      </c>
      <c r="F442" s="16">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5" t="s">
        <v>10</v>
      </c>
      <c r="F443" s="16">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5" t="s">
        <v>9</v>
      </c>
      <c r="F444" s="16">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5" t="s">
        <v>11</v>
      </c>
      <c r="F445" s="16">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5" t="s">
        <v>13</v>
      </c>
      <c r="F446" s="16">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5" t="s">
        <v>6</v>
      </c>
      <c r="F447" s="16">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5" t="s">
        <v>13</v>
      </c>
      <c r="F448" s="16">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5" t="s">
        <v>9</v>
      </c>
      <c r="F449" s="16">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5" t="s">
        <v>6</v>
      </c>
      <c r="F450" s="16">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5" t="s">
        <v>6</v>
      </c>
      <c r="F451" s="16">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5" t="s">
        <v>6</v>
      </c>
      <c r="F452" s="16">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5" t="s">
        <v>11</v>
      </c>
      <c r="F453" s="16">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5" t="s">
        <v>9</v>
      </c>
      <c r="F454" s="16">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5" t="s">
        <v>13</v>
      </c>
      <c r="F455" s="16">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5" t="s">
        <v>13</v>
      </c>
      <c r="F456" s="16">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5" t="s">
        <v>13</v>
      </c>
      <c r="F457" s="16">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5" t="s">
        <v>13</v>
      </c>
      <c r="F458" s="16">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5" t="s">
        <v>9</v>
      </c>
      <c r="F459" s="16">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5" t="s">
        <v>11</v>
      </c>
      <c r="F460" s="16">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5" t="s">
        <v>6</v>
      </c>
      <c r="F461" s="16">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5" t="s">
        <v>10</v>
      </c>
      <c r="F462" s="16">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5" t="s">
        <v>11</v>
      </c>
      <c r="F463" s="16">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5" t="s">
        <v>6</v>
      </c>
      <c r="F464" s="16">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5" t="s">
        <v>9</v>
      </c>
      <c r="F465" s="16">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5" t="s">
        <v>13</v>
      </c>
      <c r="F466" s="16">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5" t="s">
        <v>11</v>
      </c>
      <c r="F467" s="16">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5" t="s">
        <v>11</v>
      </c>
      <c r="F468" s="16">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5" t="s">
        <v>13</v>
      </c>
      <c r="F469" s="16">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5" t="s">
        <v>6</v>
      </c>
      <c r="F470" s="16">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5" t="s">
        <v>9</v>
      </c>
      <c r="F471" s="16">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5" t="s">
        <v>11</v>
      </c>
      <c r="F472" s="16">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5" t="s">
        <v>13</v>
      </c>
      <c r="F473" s="16">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5" t="s">
        <v>13</v>
      </c>
      <c r="F474" s="16">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5" t="s">
        <v>11</v>
      </c>
      <c r="F475" s="16">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5" t="s">
        <v>13</v>
      </c>
      <c r="F476" s="16">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5" t="s">
        <v>9</v>
      </c>
      <c r="F477" s="16">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5" t="s">
        <v>13</v>
      </c>
      <c r="F478" s="16">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5" t="s">
        <v>11</v>
      </c>
      <c r="F479" s="16">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5" t="s">
        <v>9</v>
      </c>
      <c r="F480" s="16">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5" t="s">
        <v>13</v>
      </c>
      <c r="F481" s="16">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5" t="s">
        <v>6</v>
      </c>
      <c r="F482" s="16">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5" t="s">
        <v>6</v>
      </c>
      <c r="F483" s="16">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5" t="s">
        <v>11</v>
      </c>
      <c r="F484" s="16">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5" t="s">
        <v>6</v>
      </c>
      <c r="F485" s="16">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5" t="s">
        <v>6</v>
      </c>
      <c r="F486" s="16">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5" t="s">
        <v>11</v>
      </c>
      <c r="F487" s="16">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5" t="s">
        <v>13</v>
      </c>
      <c r="F488" s="16">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5" t="s">
        <v>6</v>
      </c>
      <c r="F489" s="16">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5" t="s">
        <v>6</v>
      </c>
      <c r="F490" s="16">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5" t="s">
        <v>11</v>
      </c>
      <c r="F491" s="16">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5" t="s">
        <v>13</v>
      </c>
      <c r="F492" s="16">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5" t="s">
        <v>13</v>
      </c>
      <c r="F493" s="16">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5" t="s">
        <v>13</v>
      </c>
      <c r="F494" s="16">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5" t="s">
        <v>10</v>
      </c>
      <c r="F495" s="16">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5" t="s">
        <v>6</v>
      </c>
      <c r="F496" s="16">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5" t="s">
        <v>9</v>
      </c>
      <c r="F497" s="16">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5" t="s">
        <v>13</v>
      </c>
      <c r="F498" s="16">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5" t="s">
        <v>6</v>
      </c>
      <c r="F499" s="16">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5" t="s">
        <v>6</v>
      </c>
      <c r="F500" s="16">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5" t="s">
        <v>6</v>
      </c>
      <c r="F501" s="16">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5" t="s">
        <v>6</v>
      </c>
      <c r="F502" s="16">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5" t="s">
        <v>13</v>
      </c>
      <c r="F503" s="16">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5" t="s">
        <v>11</v>
      </c>
      <c r="F504" s="16">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5" t="s">
        <v>10</v>
      </c>
      <c r="F505" s="16">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5" t="s">
        <v>10</v>
      </c>
      <c r="F506" s="16">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5" t="s">
        <v>9</v>
      </c>
      <c r="F507" s="16">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5" t="s">
        <v>11</v>
      </c>
      <c r="F508" s="16">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5" t="s">
        <v>13</v>
      </c>
      <c r="F509" s="16">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5" t="s">
        <v>13</v>
      </c>
      <c r="F510" s="16">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5" t="s">
        <v>11</v>
      </c>
      <c r="F511" s="16">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5" t="s">
        <v>10</v>
      </c>
      <c r="F512" s="16">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5" t="s">
        <v>6</v>
      </c>
      <c r="F513" s="16">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5" t="s">
        <v>13</v>
      </c>
      <c r="F514" s="16">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5" t="s">
        <v>10</v>
      </c>
      <c r="F515" s="16">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5" t="s">
        <v>11</v>
      </c>
      <c r="F516" s="16">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5" t="s">
        <v>6</v>
      </c>
      <c r="F517" s="16">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5" t="s">
        <v>9</v>
      </c>
      <c r="F518" s="16">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5" t="s">
        <v>10</v>
      </c>
      <c r="F519" s="16">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5" t="s">
        <v>6</v>
      </c>
      <c r="F520" s="16">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5" t="s">
        <v>6</v>
      </c>
      <c r="F521" s="16">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5" t="s">
        <v>9</v>
      </c>
      <c r="F522" s="16">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5" t="s">
        <v>9</v>
      </c>
      <c r="F523" s="16">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5" t="s">
        <v>9</v>
      </c>
      <c r="F524" s="16">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5" t="s">
        <v>6</v>
      </c>
      <c r="F525" s="16">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5" t="s">
        <v>11</v>
      </c>
      <c r="F526" s="16">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5" t="s">
        <v>6</v>
      </c>
      <c r="F527" s="16">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5" t="s">
        <v>9</v>
      </c>
      <c r="F528" s="16">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5" t="s">
        <v>6</v>
      </c>
      <c r="F529" s="16">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5" t="s">
        <v>11</v>
      </c>
      <c r="F530" s="16">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5" t="s">
        <v>11</v>
      </c>
      <c r="F531" s="16">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5" t="s">
        <v>9</v>
      </c>
      <c r="F532" s="16">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5" t="s">
        <v>9</v>
      </c>
      <c r="F533" s="16">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5" t="s">
        <v>6</v>
      </c>
      <c r="F534" s="16">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5" t="s">
        <v>11</v>
      </c>
      <c r="F535" s="16">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5" t="s">
        <v>6</v>
      </c>
      <c r="F536" s="16">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5" t="s">
        <v>10</v>
      </c>
      <c r="F537" s="16">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5" t="s">
        <v>6</v>
      </c>
      <c r="F538" s="16">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5" t="s">
        <v>6</v>
      </c>
      <c r="F539" s="16">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5" t="s">
        <v>11</v>
      </c>
      <c r="F540" s="16">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5" t="s">
        <v>13</v>
      </c>
      <c r="F541" s="16">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5" t="s">
        <v>10</v>
      </c>
      <c r="F542" s="16">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5" t="s">
        <v>11</v>
      </c>
      <c r="F543" s="16">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5" t="s">
        <v>6</v>
      </c>
      <c r="F544" s="16">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5" t="s">
        <v>10</v>
      </c>
      <c r="F545" s="16">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5" t="s">
        <v>10</v>
      </c>
      <c r="F546" s="16">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5" t="s">
        <v>11</v>
      </c>
      <c r="F547" s="16">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5" t="s">
        <v>9</v>
      </c>
      <c r="F548" s="16">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5" t="s">
        <v>6</v>
      </c>
      <c r="F549" s="16">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5" t="s">
        <v>13</v>
      </c>
      <c r="F550" s="16">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5" t="s">
        <v>6</v>
      </c>
      <c r="F551" s="16">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5" t="s">
        <v>11</v>
      </c>
      <c r="F552" s="16">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5" t="s">
        <v>10</v>
      </c>
      <c r="F553" s="16">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5" t="s">
        <v>11</v>
      </c>
      <c r="F554" s="16">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5" t="s">
        <v>6</v>
      </c>
      <c r="F555" s="16">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5" t="s">
        <v>13</v>
      </c>
      <c r="F556" s="16">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5" t="s">
        <v>6</v>
      </c>
      <c r="F557" s="16">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5" t="s">
        <v>13</v>
      </c>
      <c r="F558" s="16">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5" t="s">
        <v>6</v>
      </c>
      <c r="F559" s="16">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5" t="s">
        <v>11</v>
      </c>
      <c r="F560" s="16">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5" t="s">
        <v>13</v>
      </c>
      <c r="F561" s="16">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5" t="s">
        <v>9</v>
      </c>
      <c r="F562" s="16">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5" t="s">
        <v>9</v>
      </c>
      <c r="F563" s="16">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5" t="s">
        <v>6</v>
      </c>
      <c r="F564" s="16">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5" t="s">
        <v>11</v>
      </c>
      <c r="F565" s="16">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5" t="s">
        <v>10</v>
      </c>
      <c r="F566" s="16">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5" t="s">
        <v>10</v>
      </c>
      <c r="F567" s="16">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5" t="s">
        <v>11</v>
      </c>
      <c r="F568" s="16">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5" t="s">
        <v>9</v>
      </c>
      <c r="F569" s="16">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5" t="s">
        <v>10</v>
      </c>
      <c r="F570" s="16">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5" t="s">
        <v>6</v>
      </c>
      <c r="F571" s="16">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5" t="s">
        <v>10</v>
      </c>
      <c r="F572" s="16">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5" t="s">
        <v>13</v>
      </c>
      <c r="F573" s="16">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5" t="s">
        <v>11</v>
      </c>
      <c r="F574" s="16">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5" t="s">
        <v>6</v>
      </c>
      <c r="F575" s="16">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5" t="s">
        <v>11</v>
      </c>
      <c r="F576" s="16">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5" t="s">
        <v>9</v>
      </c>
      <c r="F577" s="16">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5" t="s">
        <v>10</v>
      </c>
      <c r="F578" s="16">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5" t="s">
        <v>6</v>
      </c>
      <c r="F579" s="16">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5" t="s">
        <v>11</v>
      </c>
      <c r="F580" s="16">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5" t="s">
        <v>13</v>
      </c>
      <c r="F581" s="16">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5" t="s">
        <v>9</v>
      </c>
      <c r="F582" s="16">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5" t="s">
        <v>13</v>
      </c>
      <c r="F583" s="16">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5" t="s">
        <v>9</v>
      </c>
      <c r="F584" s="16">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5" t="s">
        <v>10</v>
      </c>
      <c r="F585" s="16">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5" t="s">
        <v>10</v>
      </c>
      <c r="F586" s="16">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5" t="s">
        <v>13</v>
      </c>
      <c r="F587" s="16">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5" t="s">
        <v>13</v>
      </c>
      <c r="F588" s="16">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5" t="s">
        <v>13</v>
      </c>
      <c r="F589" s="16">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5" t="s">
        <v>10</v>
      </c>
      <c r="F590" s="16">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5" t="s">
        <v>13</v>
      </c>
      <c r="F591" s="16">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5" t="s">
        <v>13</v>
      </c>
      <c r="F592" s="16">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5" t="s">
        <v>10</v>
      </c>
      <c r="F593" s="16">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5" t="s">
        <v>11</v>
      </c>
      <c r="F594" s="16">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5" t="s">
        <v>9</v>
      </c>
      <c r="F595" s="16">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5" t="s">
        <v>9</v>
      </c>
      <c r="F596" s="16">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5" t="s">
        <v>13</v>
      </c>
      <c r="F597" s="16">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5" t="s">
        <v>6</v>
      </c>
      <c r="F598" s="16">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5" t="s">
        <v>10</v>
      </c>
      <c r="F599" s="16">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5" t="s">
        <v>13</v>
      </c>
      <c r="F600" s="16">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5" t="s">
        <v>13</v>
      </c>
      <c r="F601" s="16">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5" t="s">
        <v>10</v>
      </c>
      <c r="F602" s="16">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5" t="s">
        <v>11</v>
      </c>
      <c r="F603" s="16">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5" t="s">
        <v>9</v>
      </c>
      <c r="F604" s="16">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5" t="s">
        <v>13</v>
      </c>
      <c r="F605" s="16">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5" t="s">
        <v>11</v>
      </c>
      <c r="F606" s="16">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5" t="s">
        <v>11</v>
      </c>
      <c r="F607" s="16">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5" t="s">
        <v>10</v>
      </c>
      <c r="F608" s="16">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5" t="s">
        <v>10</v>
      </c>
      <c r="F609" s="16">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5" t="s">
        <v>13</v>
      </c>
      <c r="F610" s="16">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5" t="s">
        <v>6</v>
      </c>
      <c r="F611" s="16">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5" t="s">
        <v>6</v>
      </c>
      <c r="F612" s="16">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5" t="s">
        <v>6</v>
      </c>
      <c r="F613" s="16">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5" t="s">
        <v>11</v>
      </c>
      <c r="F614" s="16">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5" t="s">
        <v>9</v>
      </c>
      <c r="F615" s="16">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5" t="s">
        <v>9</v>
      </c>
      <c r="F616" s="16">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5" t="s">
        <v>6</v>
      </c>
      <c r="F617" s="16">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5" t="s">
        <v>13</v>
      </c>
      <c r="F618" s="16">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5" t="s">
        <v>9</v>
      </c>
      <c r="F619" s="16">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5" t="s">
        <v>11</v>
      </c>
      <c r="F620" s="16">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5" t="s">
        <v>10</v>
      </c>
      <c r="F621" s="16">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5" t="s">
        <v>11</v>
      </c>
      <c r="F622" s="16">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5" t="s">
        <v>13</v>
      </c>
      <c r="F623" s="16">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5" t="s">
        <v>11</v>
      </c>
      <c r="F624" s="16">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5" t="s">
        <v>11</v>
      </c>
      <c r="F625" s="16">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5" t="s">
        <v>11</v>
      </c>
      <c r="F626" s="16">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5" t="s">
        <v>13</v>
      </c>
      <c r="F627" s="16">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5" t="s">
        <v>13</v>
      </c>
      <c r="F628" s="16">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5" t="s">
        <v>6</v>
      </c>
      <c r="F629" s="16">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5" t="s">
        <v>6</v>
      </c>
      <c r="F630" s="16">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5" t="s">
        <v>10</v>
      </c>
      <c r="F631" s="16">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5" t="s">
        <v>11</v>
      </c>
      <c r="F632" s="16">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5" t="s">
        <v>13</v>
      </c>
      <c r="F633" s="16">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5" t="s">
        <v>9</v>
      </c>
      <c r="F634" s="16">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5" t="s">
        <v>13</v>
      </c>
      <c r="F635" s="16">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5" t="s">
        <v>11</v>
      </c>
      <c r="F636" s="16">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5" t="s">
        <v>11</v>
      </c>
      <c r="F637" s="16">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5" t="s">
        <v>11</v>
      </c>
      <c r="F638" s="16">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5" t="s">
        <v>10</v>
      </c>
      <c r="F639" s="16">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5" t="s">
        <v>9</v>
      </c>
      <c r="F640" s="16">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5" t="s">
        <v>6</v>
      </c>
      <c r="F641" s="16">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5" t="s">
        <v>6</v>
      </c>
      <c r="F642" s="16">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5" t="s">
        <v>6</v>
      </c>
      <c r="F643" s="16">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5" t="s">
        <v>10</v>
      </c>
      <c r="F644" s="16">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5" t="s">
        <v>10</v>
      </c>
      <c r="F645" s="16">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5" t="s">
        <v>13</v>
      </c>
      <c r="F646" s="16">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5" t="s">
        <v>13</v>
      </c>
      <c r="F647" s="16">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5" t="s">
        <v>13</v>
      </c>
      <c r="F648" s="16">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5" t="s">
        <v>13</v>
      </c>
      <c r="F649" s="16">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5" t="s">
        <v>6</v>
      </c>
      <c r="F650" s="16">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5" t="s">
        <v>11</v>
      </c>
      <c r="F651" s="16">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5" t="s">
        <v>10</v>
      </c>
      <c r="F652" s="16">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5" t="s">
        <v>9</v>
      </c>
      <c r="F653" s="16">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5" t="s">
        <v>10</v>
      </c>
      <c r="F654" s="16">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5" t="s">
        <v>6</v>
      </c>
      <c r="F655" s="16">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5" t="s">
        <v>9</v>
      </c>
      <c r="F656" s="16">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5" t="s">
        <v>6</v>
      </c>
      <c r="F657" s="16">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5" t="s">
        <v>9</v>
      </c>
      <c r="F658" s="16">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5" t="s">
        <v>13</v>
      </c>
      <c r="F659" s="16">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5" t="s">
        <v>9</v>
      </c>
      <c r="F660" s="16">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5" t="s">
        <v>13</v>
      </c>
      <c r="F661" s="16">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5" t="s">
        <v>11</v>
      </c>
      <c r="F662" s="16">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5" t="s">
        <v>11</v>
      </c>
      <c r="F663" s="16">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5" t="s">
        <v>6</v>
      </c>
      <c r="F664" s="16">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5" t="s">
        <v>9</v>
      </c>
      <c r="F665" s="16">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5" t="s">
        <v>9</v>
      </c>
      <c r="F666" s="16">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5" t="s">
        <v>10</v>
      </c>
      <c r="F667" s="16">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5" t="s">
        <v>6</v>
      </c>
      <c r="F668" s="16">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5" t="s">
        <v>6</v>
      </c>
      <c r="F669" s="16">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5" t="s">
        <v>6</v>
      </c>
      <c r="F670" s="16">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5" t="s">
        <v>13</v>
      </c>
      <c r="F671" s="16">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5" t="s">
        <v>9</v>
      </c>
      <c r="F672" s="16">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5" t="s">
        <v>10</v>
      </c>
      <c r="F673" s="16">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5" t="s">
        <v>9</v>
      </c>
      <c r="F674" s="16">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5" t="s">
        <v>13</v>
      </c>
      <c r="F675" s="16">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5" t="s">
        <v>10</v>
      </c>
      <c r="F676" s="16">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5" t="s">
        <v>13</v>
      </c>
      <c r="F677" s="16">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5" t="s">
        <v>11</v>
      </c>
      <c r="F678" s="16">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5" t="s">
        <v>11</v>
      </c>
      <c r="F679" s="16">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5" t="s">
        <v>10</v>
      </c>
      <c r="F680" s="16">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5" t="s">
        <v>11</v>
      </c>
      <c r="F681" s="16">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5" t="s">
        <v>6</v>
      </c>
      <c r="F682" s="16">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5" t="s">
        <v>9</v>
      </c>
      <c r="F683" s="16">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5" t="s">
        <v>13</v>
      </c>
      <c r="F684" s="16">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5" t="s">
        <v>13</v>
      </c>
      <c r="F685" s="16">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5" t="s">
        <v>13</v>
      </c>
      <c r="F686" s="16">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5" t="s">
        <v>9</v>
      </c>
      <c r="F687" s="16">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5" t="s">
        <v>11</v>
      </c>
      <c r="F688" s="16">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5" t="s">
        <v>13</v>
      </c>
      <c r="F689" s="16">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5" t="s">
        <v>9</v>
      </c>
      <c r="F690" s="16">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5" t="s">
        <v>9</v>
      </c>
      <c r="F691" s="16">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5" t="s">
        <v>6</v>
      </c>
      <c r="F692" s="16">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5" t="s">
        <v>13</v>
      </c>
      <c r="F693" s="16">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5" t="s">
        <v>11</v>
      </c>
      <c r="F694" s="16">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5" t="s">
        <v>6</v>
      </c>
      <c r="F695" s="16">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5" t="s">
        <v>13</v>
      </c>
      <c r="F696" s="16">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5" t="s">
        <v>13</v>
      </c>
      <c r="F697" s="16">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5" t="s">
        <v>6</v>
      </c>
      <c r="F698" s="16">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5" t="s">
        <v>10</v>
      </c>
      <c r="F699" s="16">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5" t="s">
        <v>6</v>
      </c>
      <c r="F700" s="16">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5" t="s">
        <v>9</v>
      </c>
      <c r="F701" s="16">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5" t="s">
        <v>10</v>
      </c>
      <c r="F702" s="16">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5" t="s">
        <v>9</v>
      </c>
      <c r="F703" s="16">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5" t="s">
        <v>10</v>
      </c>
      <c r="F704" s="16">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5" t="s">
        <v>6</v>
      </c>
      <c r="F705" s="16">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5" t="s">
        <v>13</v>
      </c>
      <c r="F706" s="16">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5" t="s">
        <v>9</v>
      </c>
      <c r="F707" s="16">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5" t="s">
        <v>9</v>
      </c>
      <c r="F708" s="16">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5" t="s">
        <v>10</v>
      </c>
      <c r="F709" s="16">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5" t="s">
        <v>11</v>
      </c>
      <c r="F710" s="16">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5" t="s">
        <v>13</v>
      </c>
      <c r="F711" s="16">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5" t="s">
        <v>13</v>
      </c>
      <c r="F712" s="16">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5" t="s">
        <v>10</v>
      </c>
      <c r="F713" s="16">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5" t="s">
        <v>13</v>
      </c>
      <c r="F714" s="16">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5" t="s">
        <v>10</v>
      </c>
      <c r="F715" s="16">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5" t="s">
        <v>6</v>
      </c>
      <c r="F716" s="16">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5" t="s">
        <v>6</v>
      </c>
      <c r="F717" s="16">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5" t="s">
        <v>11</v>
      </c>
      <c r="F718" s="16">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5" t="s">
        <v>9</v>
      </c>
      <c r="F719" s="16">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5" t="s">
        <v>6</v>
      </c>
      <c r="F720" s="16">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5" t="s">
        <v>10</v>
      </c>
      <c r="F721" s="16">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5" t="s">
        <v>6</v>
      </c>
      <c r="F722" s="16">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5" t="s">
        <v>13</v>
      </c>
      <c r="F723" s="16">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5" t="s">
        <v>9</v>
      </c>
      <c r="F724" s="16">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5" t="s">
        <v>11</v>
      </c>
      <c r="F725" s="16">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5" t="s">
        <v>10</v>
      </c>
      <c r="F726" s="16">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5" t="s">
        <v>6</v>
      </c>
      <c r="F727" s="16">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5" t="s">
        <v>9</v>
      </c>
      <c r="F728" s="16">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5" t="s">
        <v>9</v>
      </c>
      <c r="F729" s="16">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5" t="s">
        <v>9</v>
      </c>
      <c r="F730" s="16">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5" t="s">
        <v>6</v>
      </c>
      <c r="F731" s="16">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5" t="s">
        <v>9</v>
      </c>
      <c r="F732" s="16">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5" t="s">
        <v>6</v>
      </c>
      <c r="F733" s="16">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5" t="s">
        <v>6</v>
      </c>
      <c r="F734" s="16">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5" t="s">
        <v>11</v>
      </c>
      <c r="F735" s="16">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5" t="s">
        <v>11</v>
      </c>
      <c r="F736" s="16">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5" t="s">
        <v>10</v>
      </c>
      <c r="F737" s="16">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5" t="s">
        <v>9</v>
      </c>
      <c r="F738" s="16">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5" t="s">
        <v>10</v>
      </c>
      <c r="F739" s="16">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5" t="s">
        <v>6</v>
      </c>
      <c r="F740" s="16">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5" t="s">
        <v>10</v>
      </c>
      <c r="F741" s="16">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5" t="s">
        <v>9</v>
      </c>
      <c r="F742" s="16">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5" t="s">
        <v>10</v>
      </c>
      <c r="F743" s="16">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5" t="s">
        <v>9</v>
      </c>
      <c r="F744" s="16">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5" t="s">
        <v>10</v>
      </c>
      <c r="F745" s="16">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5" t="s">
        <v>11</v>
      </c>
      <c r="F746" s="16">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5" t="s">
        <v>10</v>
      </c>
      <c r="F747" s="16">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5" t="s">
        <v>11</v>
      </c>
      <c r="F748" s="16">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5" t="s">
        <v>10</v>
      </c>
      <c r="F749" s="16">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5" t="s">
        <v>11</v>
      </c>
      <c r="F750" s="16">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5" t="s">
        <v>10</v>
      </c>
      <c r="F751" s="16">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5" t="s">
        <v>10</v>
      </c>
      <c r="F752" s="16">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5" t="s">
        <v>13</v>
      </c>
      <c r="F753" s="16">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5" t="s">
        <v>9</v>
      </c>
      <c r="F754" s="16">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5" t="s">
        <v>6</v>
      </c>
      <c r="F755" s="16">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5" t="s">
        <v>6</v>
      </c>
      <c r="F756" s="16">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5" t="s">
        <v>11</v>
      </c>
      <c r="F757" s="16">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5" t="s">
        <v>10</v>
      </c>
      <c r="F758" s="16">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5" t="s">
        <v>9</v>
      </c>
      <c r="F759" s="16">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5" t="s">
        <v>13</v>
      </c>
      <c r="F760" s="16">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5" t="s">
        <v>13</v>
      </c>
      <c r="F761" s="16">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5" t="s">
        <v>9</v>
      </c>
      <c r="F762" s="16">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5" t="s">
        <v>13</v>
      </c>
      <c r="F763" s="16">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5" t="s">
        <v>9</v>
      </c>
      <c r="F764" s="16">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5" t="s">
        <v>13</v>
      </c>
      <c r="F765" s="16">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5" t="s">
        <v>10</v>
      </c>
      <c r="F766" s="16">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5" t="s">
        <v>13</v>
      </c>
      <c r="F767" s="16">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5" t="s">
        <v>9</v>
      </c>
      <c r="F768" s="16">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5" t="s">
        <v>11</v>
      </c>
      <c r="F769" s="16">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5" t="s">
        <v>9</v>
      </c>
      <c r="F770" s="16">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5" t="s">
        <v>9</v>
      </c>
      <c r="F771" s="16">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5" t="s">
        <v>13</v>
      </c>
      <c r="F772" s="16">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5" t="s">
        <v>6</v>
      </c>
      <c r="F773" s="16">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5" t="s">
        <v>10</v>
      </c>
      <c r="F774" s="16">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5" t="s">
        <v>10</v>
      </c>
      <c r="F775" s="16">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5" t="s">
        <v>10</v>
      </c>
      <c r="F776" s="16">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5" t="s">
        <v>11</v>
      </c>
      <c r="F777" s="16">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5" t="s">
        <v>13</v>
      </c>
      <c r="F778" s="16">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5" t="s">
        <v>6</v>
      </c>
      <c r="F779" s="16">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5" t="s">
        <v>10</v>
      </c>
      <c r="F780" s="16">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5" t="s">
        <v>6</v>
      </c>
      <c r="F781" s="16">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5" t="s">
        <v>13</v>
      </c>
      <c r="F782" s="16">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5" t="s">
        <v>9</v>
      </c>
      <c r="F783" s="16">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5" t="s">
        <v>11</v>
      </c>
      <c r="F784" s="16">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5" t="s">
        <v>6</v>
      </c>
      <c r="F785" s="16">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5" t="s">
        <v>11</v>
      </c>
      <c r="F786" s="16">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5" t="s">
        <v>10</v>
      </c>
      <c r="F787" s="16">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5" t="s">
        <v>10</v>
      </c>
      <c r="F788" s="16">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5" t="s">
        <v>10</v>
      </c>
      <c r="F789" s="16">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5" t="s">
        <v>6</v>
      </c>
      <c r="F790" s="16">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5" t="s">
        <v>11</v>
      </c>
      <c r="F791" s="16">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5" t="s">
        <v>11</v>
      </c>
      <c r="F792" s="16">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5" t="s">
        <v>13</v>
      </c>
      <c r="F793" s="16">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5" t="s">
        <v>10</v>
      </c>
      <c r="F794" s="16">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5" t="s">
        <v>9</v>
      </c>
      <c r="F795" s="16">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5" t="s">
        <v>10</v>
      </c>
      <c r="F796" s="16">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5" t="s">
        <v>13</v>
      </c>
      <c r="F797" s="16">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5" t="s">
        <v>6</v>
      </c>
      <c r="F798" s="16">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5" t="s">
        <v>13</v>
      </c>
      <c r="F799" s="16">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5" t="s">
        <v>9</v>
      </c>
      <c r="F800" s="16">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5" t="s">
        <v>11</v>
      </c>
      <c r="F801" s="16">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5" t="s">
        <v>10</v>
      </c>
      <c r="F802" s="16">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5" t="s">
        <v>6</v>
      </c>
      <c r="F803" s="16">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5" t="s">
        <v>10</v>
      </c>
      <c r="F804" s="16">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5" t="s">
        <v>13</v>
      </c>
      <c r="F805" s="16">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5" t="s">
        <v>10</v>
      </c>
      <c r="F806" s="16">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5" t="s">
        <v>11</v>
      </c>
      <c r="F807" s="16">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5" t="s">
        <v>6</v>
      </c>
      <c r="F808" s="16">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5" t="s">
        <v>6</v>
      </c>
      <c r="F809" s="16">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5" t="s">
        <v>6</v>
      </c>
      <c r="F810" s="16">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5" t="s">
        <v>6</v>
      </c>
      <c r="F811" s="16">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5" t="s">
        <v>11</v>
      </c>
      <c r="F812" s="16">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5" t="s">
        <v>11</v>
      </c>
      <c r="F813" s="16">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5" t="s">
        <v>6</v>
      </c>
      <c r="F814" s="16">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5" t="s">
        <v>6</v>
      </c>
      <c r="F815" s="16">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5" t="s">
        <v>9</v>
      </c>
      <c r="F816" s="16">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5" t="s">
        <v>13</v>
      </c>
      <c r="F817" s="16">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5" t="s">
        <v>6</v>
      </c>
      <c r="F818" s="16">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5" t="s">
        <v>10</v>
      </c>
      <c r="F819" s="16">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5" t="s">
        <v>6</v>
      </c>
      <c r="F820" s="16">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5" t="s">
        <v>9</v>
      </c>
      <c r="F821" s="16">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5" t="s">
        <v>9</v>
      </c>
      <c r="F822" s="16">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5" t="s">
        <v>13</v>
      </c>
      <c r="F823" s="16">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5" t="s">
        <v>11</v>
      </c>
      <c r="F824" s="16">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5" t="s">
        <v>6</v>
      </c>
      <c r="F825" s="16">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5" t="s">
        <v>9</v>
      </c>
      <c r="F826" s="16">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5" t="s">
        <v>13</v>
      </c>
      <c r="F827" s="16">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5" t="s">
        <v>10</v>
      </c>
      <c r="F828" s="16">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5" t="s">
        <v>9</v>
      </c>
      <c r="F829" s="16">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5" t="s">
        <v>6</v>
      </c>
      <c r="F830" s="16">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5" t="s">
        <v>10</v>
      </c>
      <c r="F831" s="16">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5" t="s">
        <v>11</v>
      </c>
      <c r="F832" s="16">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5" t="s">
        <v>11</v>
      </c>
      <c r="F833" s="16">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5" t="s">
        <v>11</v>
      </c>
      <c r="F834" s="16">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5" t="s">
        <v>10</v>
      </c>
      <c r="F835" s="16">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5" t="s">
        <v>6</v>
      </c>
      <c r="F836" s="16">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5" t="s">
        <v>9</v>
      </c>
      <c r="F837" s="16">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5" t="s">
        <v>6</v>
      </c>
      <c r="F838" s="16">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5" t="s">
        <v>11</v>
      </c>
      <c r="F839" s="16">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5" t="s">
        <v>9</v>
      </c>
      <c r="F840" s="16">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5" t="s">
        <v>6</v>
      </c>
      <c r="F841" s="16">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5" t="s">
        <v>9</v>
      </c>
      <c r="F842" s="16">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5" t="s">
        <v>6</v>
      </c>
      <c r="F843" s="16">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5" t="s">
        <v>9</v>
      </c>
      <c r="F844" s="16">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5" t="s">
        <v>6</v>
      </c>
      <c r="F845" s="16">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5" t="s">
        <v>13</v>
      </c>
      <c r="F846" s="16">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5" t="s">
        <v>10</v>
      </c>
      <c r="F847" s="16">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5" t="s">
        <v>6</v>
      </c>
      <c r="F848" s="16">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5" t="s">
        <v>6</v>
      </c>
      <c r="F849" s="16">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5" t="s">
        <v>11</v>
      </c>
      <c r="F850" s="16">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5" t="s">
        <v>6</v>
      </c>
      <c r="F851" s="16">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5" t="s">
        <v>11</v>
      </c>
      <c r="F852" s="16">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5" t="s">
        <v>9</v>
      </c>
      <c r="F853" s="16">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5" t="s">
        <v>13</v>
      </c>
      <c r="F854" s="16">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5" t="s">
        <v>11</v>
      </c>
      <c r="F855" s="16">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5" t="s">
        <v>9</v>
      </c>
      <c r="F856" s="16">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5" t="s">
        <v>6</v>
      </c>
      <c r="F857" s="16">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5" t="s">
        <v>6</v>
      </c>
      <c r="F858" s="16">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5" t="s">
        <v>13</v>
      </c>
      <c r="F859" s="16">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5" t="s">
        <v>11</v>
      </c>
      <c r="F860" s="16">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5" t="s">
        <v>10</v>
      </c>
      <c r="F861" s="16">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5" t="s">
        <v>11</v>
      </c>
      <c r="F862" s="16">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5" t="s">
        <v>11</v>
      </c>
      <c r="F863" s="16">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5" t="s">
        <v>13</v>
      </c>
      <c r="F864" s="16">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5" t="s">
        <v>9</v>
      </c>
      <c r="F865" s="16">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5" t="s">
        <v>6</v>
      </c>
      <c r="F866" s="16">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5" t="s">
        <v>10</v>
      </c>
      <c r="F867" s="16">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5" t="s">
        <v>13</v>
      </c>
      <c r="F868" s="16">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5" t="s">
        <v>6</v>
      </c>
      <c r="F869" s="16">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5" t="s">
        <v>10</v>
      </c>
      <c r="F870" s="16">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5" t="s">
        <v>9</v>
      </c>
      <c r="F871" s="16">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5" t="s">
        <v>9</v>
      </c>
      <c r="F872" s="16">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5" t="s">
        <v>9</v>
      </c>
      <c r="F873" s="16">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5" t="s">
        <v>9</v>
      </c>
      <c r="F874" s="16">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5" t="s">
        <v>10</v>
      </c>
      <c r="F875" s="16">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5" t="s">
        <v>11</v>
      </c>
      <c r="F876" s="16">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5" t="s">
        <v>10</v>
      </c>
      <c r="F877" s="16">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5" t="s">
        <v>10</v>
      </c>
      <c r="F878" s="16">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5" t="s">
        <v>10</v>
      </c>
      <c r="F879" s="16">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5" t="s">
        <v>11</v>
      </c>
      <c r="F880" s="16">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5" t="s">
        <v>11</v>
      </c>
      <c r="F881" s="16">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5" t="s">
        <v>13</v>
      </c>
      <c r="F882" s="16">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5" t="s">
        <v>11</v>
      </c>
      <c r="F883" s="16">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5" t="s">
        <v>11</v>
      </c>
      <c r="F884" s="16">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5" t="s">
        <v>6</v>
      </c>
      <c r="F885" s="16">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5" t="s">
        <v>13</v>
      </c>
      <c r="F886" s="16">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5" t="s">
        <v>9</v>
      </c>
      <c r="F887" s="16">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5" t="s">
        <v>10</v>
      </c>
      <c r="F888" s="16">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5" t="s">
        <v>9</v>
      </c>
      <c r="F889" s="16">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5" t="s">
        <v>6</v>
      </c>
      <c r="F890" s="16">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5" t="s">
        <v>10</v>
      </c>
      <c r="F891" s="16">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5" t="s">
        <v>10</v>
      </c>
      <c r="F892" s="16">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5" t="s">
        <v>6</v>
      </c>
      <c r="F893" s="16">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5" t="s">
        <v>13</v>
      </c>
      <c r="F894" s="16">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5" t="s">
        <v>9</v>
      </c>
      <c r="F895" s="16">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5" t="s">
        <v>13</v>
      </c>
      <c r="F896" s="16">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5" t="s">
        <v>6</v>
      </c>
      <c r="F897" s="16">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5" t="s">
        <v>10</v>
      </c>
      <c r="F898" s="16">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5" t="s">
        <v>11</v>
      </c>
      <c r="F899" s="16">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5" t="s">
        <v>9</v>
      </c>
      <c r="F900" s="16">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5" t="s">
        <v>13</v>
      </c>
      <c r="F901" s="16">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5" t="s">
        <v>6</v>
      </c>
      <c r="F902" s="16">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5" t="s">
        <v>10</v>
      </c>
      <c r="F903" s="16">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5" t="s">
        <v>6</v>
      </c>
      <c r="F904" s="16">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5" t="s">
        <v>9</v>
      </c>
      <c r="F905" s="16">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5" t="s">
        <v>11</v>
      </c>
      <c r="F906" s="16">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5" t="s">
        <v>13</v>
      </c>
      <c r="F907" s="16">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5" t="s">
        <v>10</v>
      </c>
      <c r="F908" s="16">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5" t="s">
        <v>9</v>
      </c>
      <c r="F909" s="16">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5" t="s">
        <v>13</v>
      </c>
      <c r="F910" s="16">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5" t="s">
        <v>9</v>
      </c>
      <c r="F911" s="16">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5" t="s">
        <v>13</v>
      </c>
      <c r="F912" s="16">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5" t="s">
        <v>10</v>
      </c>
      <c r="F913" s="16">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5" t="s">
        <v>10</v>
      </c>
      <c r="F914" s="16">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5" t="s">
        <v>6</v>
      </c>
      <c r="F915" s="16">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5" t="s">
        <v>10</v>
      </c>
      <c r="F916" s="16">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5" t="s">
        <v>11</v>
      </c>
      <c r="F917" s="16">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5" t="s">
        <v>10</v>
      </c>
      <c r="F918" s="16">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5" t="s">
        <v>9</v>
      </c>
      <c r="F919" s="16">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5" t="s">
        <v>6</v>
      </c>
      <c r="F920" s="16">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5" t="s">
        <v>9</v>
      </c>
      <c r="F921" s="16">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5" t="s">
        <v>10</v>
      </c>
      <c r="F922" s="16">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5" t="s">
        <v>6</v>
      </c>
      <c r="F923" s="16">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5" t="s">
        <v>6</v>
      </c>
      <c r="F924" s="16">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5" t="s">
        <v>9</v>
      </c>
      <c r="F925" s="16">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5" t="s">
        <v>9</v>
      </c>
      <c r="F926" s="16">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5" t="s">
        <v>10</v>
      </c>
      <c r="F927" s="16">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5" t="s">
        <v>6</v>
      </c>
      <c r="F928" s="16">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5" t="s">
        <v>10</v>
      </c>
      <c r="F929" s="16">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5" t="s">
        <v>9</v>
      </c>
      <c r="F930" s="16">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5" t="s">
        <v>11</v>
      </c>
      <c r="F931" s="16">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5" t="s">
        <v>6</v>
      </c>
      <c r="F932" s="16">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5" t="s">
        <v>11</v>
      </c>
      <c r="F933" s="16">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5" t="s">
        <v>6</v>
      </c>
      <c r="F934" s="16">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5" t="s">
        <v>9</v>
      </c>
      <c r="F935" s="16">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5" t="s">
        <v>6</v>
      </c>
      <c r="F936" s="16">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5" t="s">
        <v>6</v>
      </c>
      <c r="F937" s="16">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5" t="s">
        <v>11</v>
      </c>
      <c r="F938" s="16">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5" t="s">
        <v>9</v>
      </c>
      <c r="F939" s="16">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5" t="s">
        <v>13</v>
      </c>
      <c r="F940" s="16">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5" t="s">
        <v>6</v>
      </c>
      <c r="F941" s="16">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5" t="s">
        <v>10</v>
      </c>
      <c r="F942" s="16">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5" t="s">
        <v>13</v>
      </c>
      <c r="F943" s="16">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5" t="s">
        <v>11</v>
      </c>
      <c r="F944" s="16">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5" t="s">
        <v>9</v>
      </c>
      <c r="F945" s="16">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5" t="s">
        <v>10</v>
      </c>
      <c r="F946" s="16">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5" t="s">
        <v>9</v>
      </c>
      <c r="F947" s="16">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5" t="s">
        <v>11</v>
      </c>
      <c r="F948" s="16">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5" t="s">
        <v>6</v>
      </c>
      <c r="F949" s="16">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5" t="s">
        <v>11</v>
      </c>
      <c r="F950" s="16">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5" t="s">
        <v>13</v>
      </c>
      <c r="F951" s="16">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5" t="s">
        <v>6</v>
      </c>
      <c r="F952" s="16">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5" t="s">
        <v>13</v>
      </c>
      <c r="F953" s="16">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5" t="s">
        <v>10</v>
      </c>
      <c r="F954" s="16">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5" t="s">
        <v>9</v>
      </c>
      <c r="F955" s="16">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5" t="s">
        <v>10</v>
      </c>
      <c r="F956" s="16">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5" t="s">
        <v>9</v>
      </c>
      <c r="F957" s="16">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5" t="s">
        <v>10</v>
      </c>
      <c r="F958" s="16">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5" t="s">
        <v>6</v>
      </c>
      <c r="F959" s="16">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5" t="s">
        <v>10</v>
      </c>
      <c r="F960" s="16">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5" t="s">
        <v>13</v>
      </c>
      <c r="F961" s="16">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5" t="s">
        <v>13</v>
      </c>
      <c r="F962" s="16">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5" t="s">
        <v>9</v>
      </c>
      <c r="F963" s="16">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5" t="s">
        <v>6</v>
      </c>
      <c r="F964" s="16">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5" t="s">
        <v>9</v>
      </c>
      <c r="F965" s="16">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5" t="s">
        <v>11</v>
      </c>
      <c r="F966" s="16">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5" t="s">
        <v>6</v>
      </c>
      <c r="F967" s="16">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5" t="s">
        <v>9</v>
      </c>
      <c r="F968" s="16">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5" t="s">
        <v>13</v>
      </c>
      <c r="F969" s="16">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5" t="s">
        <v>6</v>
      </c>
      <c r="F970" s="16">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5" t="s">
        <v>13</v>
      </c>
      <c r="F971" s="16">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5" t="s">
        <v>9</v>
      </c>
      <c r="F972" s="16">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5" t="s">
        <v>10</v>
      </c>
      <c r="F973" s="16">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5" t="s">
        <v>10</v>
      </c>
      <c r="F974" s="16">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5" t="s">
        <v>10</v>
      </c>
      <c r="F975" s="16">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5" t="s">
        <v>13</v>
      </c>
      <c r="F976" s="16">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5" t="s">
        <v>13</v>
      </c>
      <c r="F977" s="16">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5" t="s">
        <v>11</v>
      </c>
      <c r="F978" s="16">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5" t="s">
        <v>13</v>
      </c>
      <c r="F979" s="16">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5" t="s">
        <v>6</v>
      </c>
      <c r="F980" s="16">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5" t="s">
        <v>11</v>
      </c>
      <c r="F981" s="16">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5" t="s">
        <v>13</v>
      </c>
      <c r="F982" s="16">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5" t="s">
        <v>9</v>
      </c>
      <c r="F983" s="16">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5" t="s">
        <v>13</v>
      </c>
      <c r="F984" s="16">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5" t="s">
        <v>6</v>
      </c>
      <c r="F985" s="16">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5" t="s">
        <v>10</v>
      </c>
      <c r="F986" s="16">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5" t="s">
        <v>10</v>
      </c>
      <c r="F987" s="16">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5" t="s">
        <v>11</v>
      </c>
      <c r="F988" s="16">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5" t="s">
        <v>9</v>
      </c>
      <c r="F989" s="16">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5" t="s">
        <v>13</v>
      </c>
      <c r="F990" s="16">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5" t="s">
        <v>10</v>
      </c>
      <c r="F991" s="16">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5" t="s">
        <v>10</v>
      </c>
      <c r="F992" s="16">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5" t="s">
        <v>6</v>
      </c>
      <c r="F993" s="16">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5" t="s">
        <v>6</v>
      </c>
      <c r="F994" s="16">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5" t="s">
        <v>9</v>
      </c>
      <c r="F995" s="16">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5" t="s">
        <v>11</v>
      </c>
      <c r="F996" s="16">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5" t="s">
        <v>13</v>
      </c>
      <c r="F997" s="16">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5" t="s">
        <v>10</v>
      </c>
      <c r="F998" s="16">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5" t="s">
        <v>10</v>
      </c>
      <c r="F999" s="16">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5" t="s">
        <v>13</v>
      </c>
      <c r="F1000" s="16">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5" t="s">
        <v>10</v>
      </c>
      <c r="F1001" s="16">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5" t="s">
        <v>10</v>
      </c>
      <c r="F1002" s="16">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5" t="s">
        <v>11</v>
      </c>
      <c r="F1003" s="16">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29F80-2999-4E63-B9BE-F02576D9D89D}">
  <dimension ref="A1:AB77"/>
  <sheetViews>
    <sheetView zoomScaleNormal="100" workbookViewId="0">
      <selection activeCell="M1" sqref="M1"/>
    </sheetView>
  </sheetViews>
  <sheetFormatPr defaultRowHeight="14.4" x14ac:dyDescent="0.3"/>
  <cols>
    <col min="1" max="1" width="1.796875" customWidth="1"/>
    <col min="2" max="2" width="1.8984375" customWidth="1"/>
    <col min="4" max="4" width="8.8984375" customWidth="1"/>
    <col min="5" max="5" width="2.296875" customWidth="1"/>
    <col min="14" max="14" width="11.19921875" customWidth="1"/>
    <col min="15" max="15" width="1" customWidth="1"/>
    <col min="16" max="16" width="13.8984375" customWidth="1"/>
    <col min="17" max="17" width="11.8984375" customWidth="1"/>
    <col min="18" max="18" width="10.796875" customWidth="1"/>
    <col min="19" max="19" width="11.09765625" customWidth="1"/>
    <col min="20" max="20" width="10.5" customWidth="1"/>
    <col min="29" max="16384" width="8.796875" style="18"/>
  </cols>
  <sheetData>
    <row r="1" spans="2:7" s="18" customFormat="1" ht="37.799999999999997" customHeight="1" x14ac:dyDescent="0.6">
      <c r="B1" s="43"/>
      <c r="C1" s="44" t="s">
        <v>1087</v>
      </c>
      <c r="D1" s="45"/>
      <c r="E1" s="45"/>
      <c r="F1" s="45"/>
      <c r="G1" s="45"/>
    </row>
    <row r="2" spans="2:7" s="18" customFormat="1" ht="16.2" customHeight="1" x14ac:dyDescent="0.6">
      <c r="B2" s="43"/>
      <c r="C2" s="45"/>
      <c r="D2" s="45"/>
      <c r="E2" s="45"/>
      <c r="F2" s="45"/>
      <c r="G2" s="45"/>
    </row>
    <row r="3" spans="2:7" s="18" customFormat="1" x14ac:dyDescent="0.3"/>
    <row r="4" spans="2:7" s="18" customFormat="1" x14ac:dyDescent="0.3"/>
    <row r="5" spans="2:7" s="18" customFormat="1" x14ac:dyDescent="0.3"/>
    <row r="6" spans="2:7" s="18" customFormat="1" x14ac:dyDescent="0.3"/>
    <row r="7" spans="2:7" s="18" customFormat="1" x14ac:dyDescent="0.3"/>
    <row r="8" spans="2:7" s="18" customFormat="1" x14ac:dyDescent="0.3"/>
    <row r="9" spans="2:7" s="18" customFormat="1" x14ac:dyDescent="0.3"/>
    <row r="10" spans="2:7" s="18" customFormat="1" x14ac:dyDescent="0.3"/>
    <row r="11" spans="2:7" s="18" customFormat="1" x14ac:dyDescent="0.3"/>
    <row r="12" spans="2:7" s="18" customFormat="1" x14ac:dyDescent="0.3"/>
    <row r="13" spans="2:7" s="18" customFormat="1" x14ac:dyDescent="0.3"/>
    <row r="14" spans="2:7" s="18" customFormat="1" x14ac:dyDescent="0.3"/>
    <row r="15" spans="2:7" s="18" customFormat="1" x14ac:dyDescent="0.3"/>
    <row r="16" spans="2:7" s="18" customFormat="1" x14ac:dyDescent="0.3"/>
    <row r="17" spans="12:22" s="18" customFormat="1" x14ac:dyDescent="0.3"/>
    <row r="18" spans="12:22" s="18" customFormat="1" x14ac:dyDescent="0.3">
      <c r="P18" s="32"/>
      <c r="Q18" s="33" t="str" cm="1">
        <f t="array" ref="Q18:U18">pivots!B84:F84</f>
        <v>R01</v>
      </c>
      <c r="R18" s="33" t="str">
        <v>R02</v>
      </c>
      <c r="S18" s="33" t="str">
        <v>R03</v>
      </c>
      <c r="T18" s="33" t="str">
        <v>R04</v>
      </c>
      <c r="U18" s="33" t="str">
        <v>R05</v>
      </c>
      <c r="V18" s="34" t="s">
        <v>1081</v>
      </c>
    </row>
    <row r="19" spans="12:22" s="18" customFormat="1" ht="15.6" x14ac:dyDescent="0.3">
      <c r="P19" s="35" t="str" cm="1">
        <f t="array" ref="P19:V36">IF(pivots!A85:G102="","",pivots!A85:G102)</f>
        <v>Cincinnati</v>
      </c>
      <c r="Q19" s="30" t="str">
        <v/>
      </c>
      <c r="R19" s="30" t="str">
        <v/>
      </c>
      <c r="S19" s="30" t="str">
        <v/>
      </c>
      <c r="T19" s="30" t="str">
        <v/>
      </c>
      <c r="U19" s="30" t="str">
        <v/>
      </c>
      <c r="V19" s="36" t="str">
        <v/>
      </c>
    </row>
    <row r="20" spans="12:22" s="18" customFormat="1" x14ac:dyDescent="0.3">
      <c r="P20" s="37" t="str">
        <v>C0003</v>
      </c>
      <c r="Q20" s="31">
        <v>891</v>
      </c>
      <c r="R20" s="31">
        <v>1332</v>
      </c>
      <c r="S20" s="31">
        <v>1282</v>
      </c>
      <c r="T20" s="31">
        <v>739</v>
      </c>
      <c r="U20" s="31">
        <v>560</v>
      </c>
      <c r="V20" s="38">
        <v>4804</v>
      </c>
    </row>
    <row r="21" spans="12:22" s="18" customFormat="1" x14ac:dyDescent="0.3">
      <c r="P21" s="37" t="str">
        <v>C0004</v>
      </c>
      <c r="Q21" s="31">
        <v>1991</v>
      </c>
      <c r="R21" s="31">
        <v>1886</v>
      </c>
      <c r="S21" s="31">
        <v>1206</v>
      </c>
      <c r="T21" s="31">
        <v>884</v>
      </c>
      <c r="U21" s="31">
        <v>1722</v>
      </c>
      <c r="V21" s="38">
        <v>7689</v>
      </c>
    </row>
    <row r="22" spans="12:22" s="18" customFormat="1" x14ac:dyDescent="0.3">
      <c r="P22" s="37" t="str">
        <v>C0011</v>
      </c>
      <c r="Q22" s="31">
        <v>1163</v>
      </c>
      <c r="R22" s="31">
        <v>1180</v>
      </c>
      <c r="S22" s="31">
        <v>1616</v>
      </c>
      <c r="T22" s="31">
        <v>1043</v>
      </c>
      <c r="U22" s="31">
        <v>1747</v>
      </c>
      <c r="V22" s="38">
        <v>6749</v>
      </c>
    </row>
    <row r="23" spans="12:22" s="18" customFormat="1" x14ac:dyDescent="0.3">
      <c r="P23" s="37" t="str">
        <v>C0012</v>
      </c>
      <c r="Q23" s="31">
        <v>1438</v>
      </c>
      <c r="R23" s="31">
        <v>1616</v>
      </c>
      <c r="S23" s="31">
        <v>866</v>
      </c>
      <c r="T23" s="31">
        <v>829</v>
      </c>
      <c r="U23" s="31">
        <v>2070</v>
      </c>
      <c r="V23" s="38">
        <v>6819</v>
      </c>
    </row>
    <row r="24" spans="12:22" s="18" customFormat="1" ht="15.6" x14ac:dyDescent="0.3">
      <c r="P24" s="35" t="str">
        <v>Cleveland</v>
      </c>
      <c r="Q24" s="31" t="str">
        <v/>
      </c>
      <c r="R24" s="31" t="str">
        <v/>
      </c>
      <c r="S24" s="31" t="str">
        <v/>
      </c>
      <c r="T24" s="31" t="str">
        <v/>
      </c>
      <c r="U24" s="31" t="str">
        <v/>
      </c>
      <c r="V24" s="38" t="str">
        <v/>
      </c>
    </row>
    <row r="25" spans="12:22" s="18" customFormat="1" x14ac:dyDescent="0.3">
      <c r="P25" s="37" t="str">
        <v>C0002</v>
      </c>
      <c r="Q25" s="31">
        <v>1233</v>
      </c>
      <c r="R25" s="31">
        <v>223</v>
      </c>
      <c r="S25" s="31">
        <v>1680</v>
      </c>
      <c r="T25" s="31">
        <v>990</v>
      </c>
      <c r="U25" s="31">
        <v>1508</v>
      </c>
      <c r="V25" s="38">
        <v>5634</v>
      </c>
    </row>
    <row r="26" spans="12:22" s="18" customFormat="1" x14ac:dyDescent="0.3">
      <c r="P26" s="37" t="str">
        <v>C0007</v>
      </c>
      <c r="Q26" s="31">
        <v>1598</v>
      </c>
      <c r="R26" s="31">
        <v>1907</v>
      </c>
      <c r="S26" s="31">
        <v>869</v>
      </c>
      <c r="T26" s="31">
        <v>1426</v>
      </c>
      <c r="U26" s="31">
        <v>1416</v>
      </c>
      <c r="V26" s="38">
        <v>7216</v>
      </c>
    </row>
    <row r="27" spans="12:22" s="18" customFormat="1" x14ac:dyDescent="0.3">
      <c r="P27" s="37" t="str">
        <v>C0008</v>
      </c>
      <c r="Q27" s="31">
        <v>900</v>
      </c>
      <c r="R27" s="31">
        <v>1016</v>
      </c>
      <c r="S27" s="31">
        <v>960</v>
      </c>
      <c r="T27" s="31">
        <v>940</v>
      </c>
      <c r="U27" s="31">
        <v>1193</v>
      </c>
      <c r="V27" s="38">
        <v>5009</v>
      </c>
    </row>
    <row r="28" spans="12:22" s="18" customFormat="1" x14ac:dyDescent="0.3">
      <c r="L28" s="46" t="str">
        <f>pivots!K69</f>
        <v/>
      </c>
      <c r="M28" s="46"/>
      <c r="P28" s="37" t="str">
        <v>C0010</v>
      </c>
      <c r="Q28" s="31">
        <v>900</v>
      </c>
      <c r="R28" s="31">
        <v>1470</v>
      </c>
      <c r="S28" s="31">
        <v>1617</v>
      </c>
      <c r="T28" s="31">
        <v>1314</v>
      </c>
      <c r="U28" s="31">
        <v>941</v>
      </c>
      <c r="V28" s="38">
        <v>6242</v>
      </c>
    </row>
    <row r="29" spans="12:22" s="18" customFormat="1" x14ac:dyDescent="0.3">
      <c r="L29" s="46"/>
      <c r="M29" s="46"/>
      <c r="P29" s="37" t="str">
        <v>C0013</v>
      </c>
      <c r="Q29" s="31">
        <v>1255</v>
      </c>
      <c r="R29" s="31">
        <v>516</v>
      </c>
      <c r="S29" s="31">
        <v>1874</v>
      </c>
      <c r="T29" s="31">
        <v>1863</v>
      </c>
      <c r="U29" s="31">
        <v>1722</v>
      </c>
      <c r="V29" s="38">
        <v>7230</v>
      </c>
    </row>
    <row r="30" spans="12:22" s="18" customFormat="1" x14ac:dyDescent="0.3">
      <c r="L30" s="46"/>
      <c r="M30" s="46"/>
      <c r="P30" s="37" t="str">
        <v>C0015</v>
      </c>
      <c r="Q30" s="31">
        <v>1138</v>
      </c>
      <c r="R30" s="31">
        <v>1898</v>
      </c>
      <c r="S30" s="31">
        <v>1482</v>
      </c>
      <c r="T30" s="31">
        <v>846</v>
      </c>
      <c r="U30" s="31">
        <v>1154</v>
      </c>
      <c r="V30" s="38">
        <v>6518</v>
      </c>
    </row>
    <row r="31" spans="12:22" s="18" customFormat="1" ht="15.6" x14ac:dyDescent="0.3">
      <c r="L31" s="47" t="str">
        <f>pivots!K65</f>
        <v>% of Calls100%</v>
      </c>
      <c r="M31" s="47"/>
      <c r="P31" s="35" t="str">
        <v>Columbus</v>
      </c>
      <c r="Q31" s="31" t="str">
        <v/>
      </c>
      <c r="R31" s="31" t="str">
        <v/>
      </c>
      <c r="S31" s="31" t="str">
        <v/>
      </c>
      <c r="T31" s="31" t="str">
        <v/>
      </c>
      <c r="U31" s="31" t="str">
        <v/>
      </c>
      <c r="V31" s="38" t="str">
        <v/>
      </c>
    </row>
    <row r="32" spans="12:22" s="18" customFormat="1" ht="15.6" x14ac:dyDescent="0.3">
      <c r="L32" s="47" t="str">
        <f>pivots!K66</f>
        <v/>
      </c>
      <c r="M32" s="47"/>
      <c r="P32" s="37" t="str">
        <v>C0001</v>
      </c>
      <c r="Q32" s="31">
        <v>1655</v>
      </c>
      <c r="R32" s="31">
        <v>805</v>
      </c>
      <c r="S32" s="31">
        <v>2263</v>
      </c>
      <c r="T32" s="31">
        <v>987</v>
      </c>
      <c r="U32" s="31">
        <v>1075</v>
      </c>
      <c r="V32" s="38">
        <v>6785</v>
      </c>
    </row>
    <row r="33" spans="12:22" s="18" customFormat="1" ht="15.6" x14ac:dyDescent="0.3">
      <c r="L33" s="47" t="str">
        <f>pivots!K67</f>
        <v/>
      </c>
      <c r="M33" s="47"/>
      <c r="P33" s="37" t="str">
        <v>C0005</v>
      </c>
      <c r="Q33" s="31">
        <v>1104</v>
      </c>
      <c r="R33" s="31">
        <v>2280</v>
      </c>
      <c r="S33" s="31">
        <v>1445</v>
      </c>
      <c r="T33" s="31">
        <v>1722</v>
      </c>
      <c r="U33" s="31">
        <v>1196</v>
      </c>
      <c r="V33" s="38">
        <v>7747</v>
      </c>
    </row>
    <row r="34" spans="12:22" s="18" customFormat="1" x14ac:dyDescent="0.3">
      <c r="P34" s="37" t="str">
        <v>C0006</v>
      </c>
      <c r="Q34" s="31">
        <v>372</v>
      </c>
      <c r="R34" s="31">
        <v>1818</v>
      </c>
      <c r="S34" s="31">
        <v>1346</v>
      </c>
      <c r="T34" s="31">
        <v>1156</v>
      </c>
      <c r="U34" s="31">
        <v>1484</v>
      </c>
      <c r="V34" s="38">
        <v>6176</v>
      </c>
    </row>
    <row r="35" spans="12:22" s="18" customFormat="1" x14ac:dyDescent="0.3">
      <c r="P35" s="37" t="str">
        <v>C0009</v>
      </c>
      <c r="Q35" s="31">
        <v>1415</v>
      </c>
      <c r="R35" s="31">
        <v>1271</v>
      </c>
      <c r="S35" s="31">
        <v>1214</v>
      </c>
      <c r="T35" s="31">
        <v>1135</v>
      </c>
      <c r="U35" s="31">
        <v>1566</v>
      </c>
      <c r="V35" s="38">
        <v>6601</v>
      </c>
    </row>
    <row r="36" spans="12:22" s="18" customFormat="1" x14ac:dyDescent="0.3">
      <c r="L36" s="48"/>
      <c r="M36" s="48"/>
      <c r="P36" s="39" t="str">
        <v>C0014</v>
      </c>
      <c r="Q36" s="40">
        <v>1362</v>
      </c>
      <c r="R36" s="40">
        <v>1363</v>
      </c>
      <c r="S36" s="40">
        <v>1152</v>
      </c>
      <c r="T36" s="40">
        <v>777</v>
      </c>
      <c r="U36" s="40">
        <v>750</v>
      </c>
      <c r="V36" s="41">
        <v>5404</v>
      </c>
    </row>
    <row r="37" spans="12:22" s="18" customFormat="1" x14ac:dyDescent="0.3">
      <c r="L37" s="48"/>
      <c r="M37" s="48"/>
    </row>
    <row r="38" spans="12:22" s="18" customFormat="1" x14ac:dyDescent="0.3"/>
    <row r="39" spans="12:22" s="18" customFormat="1" x14ac:dyDescent="0.3"/>
    <row r="40" spans="12:22" s="18" customFormat="1" x14ac:dyDescent="0.3"/>
    <row r="41" spans="12:22" s="18" customFormat="1" x14ac:dyDescent="0.3"/>
    <row r="42" spans="12:22" s="18" customFormat="1" x14ac:dyDescent="0.3"/>
    <row r="43" spans="12:22" s="18" customFormat="1" x14ac:dyDescent="0.3"/>
    <row r="44" spans="12:22" s="18" customFormat="1" x14ac:dyDescent="0.3"/>
    <row r="45" spans="12:22" s="18" customFormat="1" x14ac:dyDescent="0.3"/>
    <row r="46" spans="12:22" s="18" customFormat="1" x14ac:dyDescent="0.3"/>
    <row r="47" spans="12:22" s="18" customFormat="1" x14ac:dyDescent="0.3"/>
    <row r="48" spans="12:22" s="18" customFormat="1" x14ac:dyDescent="0.3"/>
    <row r="49" s="18" customFormat="1" x14ac:dyDescent="0.3"/>
    <row r="50" s="18" customFormat="1" x14ac:dyDescent="0.3"/>
    <row r="51" s="18" customFormat="1" x14ac:dyDescent="0.3"/>
    <row r="52" s="18" customFormat="1" x14ac:dyDescent="0.3"/>
    <row r="53" s="18" customFormat="1" x14ac:dyDescent="0.3"/>
    <row r="54" s="18" customFormat="1" x14ac:dyDescent="0.3"/>
    <row r="55" s="18" customFormat="1" x14ac:dyDescent="0.3"/>
    <row r="56" s="18" customFormat="1" x14ac:dyDescent="0.3"/>
    <row r="57" s="18" customFormat="1" x14ac:dyDescent="0.3"/>
    <row r="58" s="18" customFormat="1" x14ac:dyDescent="0.3"/>
    <row r="59" s="18" customFormat="1" x14ac:dyDescent="0.3"/>
    <row r="60" s="18" customFormat="1" x14ac:dyDescent="0.3"/>
    <row r="61" s="18" customFormat="1" x14ac:dyDescent="0.3"/>
    <row r="62" s="18" customFormat="1" x14ac:dyDescent="0.3"/>
    <row r="63" s="18" customFormat="1" x14ac:dyDescent="0.3"/>
    <row r="64" s="18" customFormat="1" x14ac:dyDescent="0.3"/>
    <row r="65" s="18" customFormat="1" x14ac:dyDescent="0.3"/>
    <row r="66" s="18" customFormat="1" x14ac:dyDescent="0.3"/>
    <row r="67" s="18" customFormat="1" x14ac:dyDescent="0.3"/>
    <row r="68" s="18" customFormat="1" x14ac:dyDescent="0.3"/>
    <row r="69" s="18" customFormat="1" x14ac:dyDescent="0.3"/>
    <row r="70" s="18" customFormat="1" x14ac:dyDescent="0.3"/>
    <row r="71" s="18" customFormat="1" x14ac:dyDescent="0.3"/>
    <row r="72" s="18" customFormat="1" x14ac:dyDescent="0.3"/>
    <row r="73" s="18" customFormat="1" x14ac:dyDescent="0.3"/>
    <row r="74" s="18" customFormat="1" x14ac:dyDescent="0.3"/>
    <row r="75" s="18" customFormat="1" x14ac:dyDescent="0.3"/>
    <row r="76" s="18" customFormat="1" x14ac:dyDescent="0.3"/>
    <row r="77" s="18" customFormat="1" x14ac:dyDescent="0.3"/>
  </sheetData>
  <mergeCells count="6">
    <mergeCell ref="L37:M37"/>
    <mergeCell ref="L28:M30"/>
    <mergeCell ref="L31:M31"/>
    <mergeCell ref="L32:M32"/>
    <mergeCell ref="L33:M33"/>
    <mergeCell ref="L36:M36"/>
  </mergeCells>
  <conditionalFormatting sqref="Q21:U36 R20:U20">
    <cfRule type="dataBar" priority="4">
      <dataBar>
        <cfvo type="num" val="0"/>
        <cfvo type="formula" val="MAX($Q$20:$U$36)*2"/>
        <color theme="7" tint="0.79998168889431442"/>
      </dataBar>
      <extLst>
        <ext xmlns:x14="http://schemas.microsoft.com/office/spreadsheetml/2009/9/main" uri="{B025F937-C7B1-47D3-B67F-A62EFF666E3E}">
          <x14:id>{42F232D1-F81A-458E-87A8-AD37083A6992}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7" id="{F426A345-E3A3-4489-B455-8D064EAF6BE3}">
            <xm:f>Q$18=pivots!$E$67</xm:f>
            <x14:dxf>
              <fill>
                <patternFill>
                  <bgColor theme="9" tint="0.79998168889431442"/>
                </patternFill>
              </fill>
              <border>
                <left style="thin">
                  <color theme="9" tint="-0.499984740745262"/>
                </left>
                <right style="thin">
                  <color theme="9" tint="-0.499984740745262"/>
                </right>
                <vertical/>
                <horizontal/>
              </border>
            </x14:dxf>
          </x14:cfRule>
          <xm:sqref>Q18:U36</xm:sqref>
        </x14:conditionalFormatting>
        <x14:conditionalFormatting xmlns:xm="http://schemas.microsoft.com/office/excel/2006/main">
          <x14:cfRule type="dataBar" id="{42F232D1-F81A-458E-87A8-AD37083A6992}">
            <x14:dataBar minLength="0" maxLength="100" border="1" negativeBarBorderColorSameAsPositive="0">
              <x14:cfvo type="num">
                <xm:f>0</xm:f>
              </x14:cfvo>
              <x14:cfvo type="formula">
                <xm:f>MAX($Q$20:$U$36)*2</xm:f>
              </x14:cfvo>
              <x14:borderColor theme="5" tint="-0.499984740745262"/>
              <x14:negativeFillColor rgb="FFFF0000"/>
              <x14:negativeBorderColor rgb="FFFF0000"/>
              <x14:axisColor rgb="FF000000"/>
            </x14:dataBar>
          </x14:cfRule>
          <xm:sqref>Q21:U36 R20:U20</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2D29B-B0A0-4C8D-8B7C-EB0FEA24CB80}">
  <dimension ref="A3:N102"/>
  <sheetViews>
    <sheetView tabSelected="1" zoomScale="110" zoomScaleNormal="110" workbookViewId="0">
      <selection activeCell="K68" sqref="K68"/>
    </sheetView>
  </sheetViews>
  <sheetFormatPr defaultRowHeight="14.4" x14ac:dyDescent="0.3"/>
  <cols>
    <col min="1" max="1" width="12.19921875" bestFit="1" customWidth="1"/>
    <col min="2" max="2" width="9.796875" bestFit="1" customWidth="1"/>
    <col min="3" max="3" width="10.796875" bestFit="1" customWidth="1"/>
    <col min="4" max="4" width="9.69921875" bestFit="1" customWidth="1"/>
    <col min="5" max="5" width="12.19921875" bestFit="1" customWidth="1"/>
    <col min="6" max="6" width="9.796875" bestFit="1" customWidth="1"/>
    <col min="7" max="7" width="12.19921875" bestFit="1" customWidth="1"/>
    <col min="8" max="8" width="9.796875" bestFit="1" customWidth="1"/>
    <col min="9" max="9" width="4.8984375" bestFit="1" customWidth="1"/>
    <col min="10" max="10" width="10.3984375" bestFit="1" customWidth="1"/>
    <col min="11" max="11" width="13.796875" customWidth="1"/>
  </cols>
  <sheetData>
    <row r="3" spans="1:5" x14ac:dyDescent="0.3">
      <c r="A3" t="s">
        <v>1046</v>
      </c>
      <c r="B3" t="s">
        <v>1042</v>
      </c>
      <c r="C3" t="s">
        <v>1043</v>
      </c>
      <c r="D3" t="s">
        <v>1044</v>
      </c>
      <c r="E3" t="s">
        <v>1045</v>
      </c>
    </row>
    <row r="4" spans="1:5" x14ac:dyDescent="0.3">
      <c r="A4" s="21">
        <v>1000</v>
      </c>
      <c r="B4" s="22">
        <v>96623</v>
      </c>
      <c r="C4" s="21">
        <v>89850</v>
      </c>
      <c r="D4" s="23">
        <v>3.8854000000000033</v>
      </c>
      <c r="E4" s="24">
        <v>307</v>
      </c>
    </row>
    <row r="10" spans="1:5" x14ac:dyDescent="0.3">
      <c r="A10" t="s">
        <v>1046</v>
      </c>
      <c r="B10" t="s">
        <v>1042</v>
      </c>
      <c r="C10" t="s">
        <v>1043</v>
      </c>
      <c r="D10" t="s">
        <v>1044</v>
      </c>
      <c r="E10" t="s">
        <v>1045</v>
      </c>
    </row>
    <row r="11" spans="1:5" x14ac:dyDescent="0.3">
      <c r="A11" s="21">
        <v>1000</v>
      </c>
      <c r="B11" s="22">
        <v>96623</v>
      </c>
      <c r="C11" s="21">
        <v>89850</v>
      </c>
      <c r="D11" s="23">
        <v>3.8854000000000033</v>
      </c>
      <c r="E11" s="24">
        <v>307</v>
      </c>
    </row>
    <row r="20" spans="1:6" x14ac:dyDescent="0.3">
      <c r="A20" s="25" t="s">
        <v>1051</v>
      </c>
      <c r="B20" t="s">
        <v>1046</v>
      </c>
      <c r="C20" t="s">
        <v>1065</v>
      </c>
      <c r="E20" s="25" t="s">
        <v>1051</v>
      </c>
      <c r="F20" t="s">
        <v>1046</v>
      </c>
    </row>
    <row r="21" spans="1:6" x14ac:dyDescent="0.3">
      <c r="A21" s="26" t="s">
        <v>1053</v>
      </c>
      <c r="B21" s="21">
        <v>79</v>
      </c>
      <c r="C21" s="21">
        <v>79</v>
      </c>
      <c r="E21" s="26" t="s">
        <v>1069</v>
      </c>
      <c r="F21" s="21">
        <v>146</v>
      </c>
    </row>
    <row r="22" spans="1:6" x14ac:dyDescent="0.3">
      <c r="A22" s="26" t="s">
        <v>1054</v>
      </c>
      <c r="B22" s="21">
        <v>66</v>
      </c>
      <c r="C22" s="21">
        <v>66</v>
      </c>
      <c r="E22" s="26" t="s">
        <v>1067</v>
      </c>
      <c r="F22" s="21">
        <v>133</v>
      </c>
    </row>
    <row r="23" spans="1:6" x14ac:dyDescent="0.3">
      <c r="A23" s="26" t="s">
        <v>1055</v>
      </c>
      <c r="B23" s="21">
        <v>155</v>
      </c>
      <c r="C23" s="21">
        <v>155</v>
      </c>
      <c r="E23" s="26" t="s">
        <v>1071</v>
      </c>
      <c r="F23" s="21">
        <v>138</v>
      </c>
    </row>
    <row r="24" spans="1:6" x14ac:dyDescent="0.3">
      <c r="A24" s="26" t="s">
        <v>1056</v>
      </c>
      <c r="B24" s="21">
        <v>136</v>
      </c>
      <c r="C24" s="21">
        <v>136</v>
      </c>
      <c r="E24" s="26" t="s">
        <v>1072</v>
      </c>
      <c r="F24" s="21">
        <v>153</v>
      </c>
    </row>
    <row r="25" spans="1:6" x14ac:dyDescent="0.3">
      <c r="A25" s="26" t="s">
        <v>1057</v>
      </c>
      <c r="B25" s="21">
        <v>83</v>
      </c>
      <c r="C25" s="21">
        <v>83</v>
      </c>
      <c r="E25" s="26" t="s">
        <v>1070</v>
      </c>
      <c r="F25" s="21">
        <v>128</v>
      </c>
    </row>
    <row r="26" spans="1:6" x14ac:dyDescent="0.3">
      <c r="A26" s="26" t="s">
        <v>1058</v>
      </c>
      <c r="B26" s="21">
        <v>67</v>
      </c>
      <c r="C26" s="21">
        <v>67</v>
      </c>
      <c r="E26" s="26" t="s">
        <v>1066</v>
      </c>
      <c r="F26" s="21">
        <v>141</v>
      </c>
    </row>
    <row r="27" spans="1:6" x14ac:dyDescent="0.3">
      <c r="A27" s="26" t="s">
        <v>1059</v>
      </c>
      <c r="B27" s="21">
        <v>64</v>
      </c>
      <c r="C27" s="21">
        <v>64</v>
      </c>
      <c r="E27" s="26" t="s">
        <v>1068</v>
      </c>
      <c r="F27" s="21">
        <v>161</v>
      </c>
    </row>
    <row r="28" spans="1:6" x14ac:dyDescent="0.3">
      <c r="A28" s="26" t="s">
        <v>1060</v>
      </c>
      <c r="B28" s="21">
        <v>50</v>
      </c>
      <c r="C28" s="21">
        <v>50</v>
      </c>
      <c r="E28" s="26" t="s">
        <v>1052</v>
      </c>
      <c r="F28" s="21">
        <v>1000</v>
      </c>
    </row>
    <row r="29" spans="1:6" x14ac:dyDescent="0.3">
      <c r="A29" s="26" t="s">
        <v>1061</v>
      </c>
      <c r="B29" s="21">
        <v>76</v>
      </c>
      <c r="C29" s="21">
        <v>76</v>
      </c>
    </row>
    <row r="30" spans="1:6" x14ac:dyDescent="0.3">
      <c r="A30" s="26" t="s">
        <v>1062</v>
      </c>
      <c r="B30" s="21">
        <v>114</v>
      </c>
      <c r="C30" s="21">
        <v>114</v>
      </c>
    </row>
    <row r="31" spans="1:6" x14ac:dyDescent="0.3">
      <c r="A31" s="26" t="s">
        <v>1063</v>
      </c>
      <c r="B31" s="21">
        <v>57</v>
      </c>
      <c r="C31" s="21">
        <v>57</v>
      </c>
    </row>
    <row r="32" spans="1:6" x14ac:dyDescent="0.3">
      <c r="A32" s="26" t="s">
        <v>1064</v>
      </c>
      <c r="B32" s="21">
        <v>53</v>
      </c>
      <c r="C32" s="21">
        <v>53</v>
      </c>
    </row>
    <row r="33" spans="1:9" x14ac:dyDescent="0.3">
      <c r="A33" s="26" t="s">
        <v>1052</v>
      </c>
      <c r="B33" s="21">
        <v>1000</v>
      </c>
      <c r="C33" s="21">
        <v>1000</v>
      </c>
      <c r="G33" s="26"/>
      <c r="H33" s="21"/>
      <c r="I33" s="27"/>
    </row>
    <row r="34" spans="1:9" x14ac:dyDescent="0.3">
      <c r="G34" s="26"/>
      <c r="H34" s="21"/>
      <c r="I34" s="27"/>
    </row>
    <row r="35" spans="1:9" x14ac:dyDescent="0.3">
      <c r="G35" s="26"/>
      <c r="H35" s="21"/>
      <c r="I35" s="27"/>
    </row>
    <row r="36" spans="1:9" x14ac:dyDescent="0.3">
      <c r="G36" s="26"/>
      <c r="H36" s="21"/>
      <c r="I36" s="27"/>
    </row>
    <row r="37" spans="1:9" x14ac:dyDescent="0.3">
      <c r="E37" s="26"/>
      <c r="F37" s="21"/>
      <c r="G37" s="27"/>
      <c r="H37" s="21"/>
      <c r="I37" s="27"/>
    </row>
    <row r="38" spans="1:9" x14ac:dyDescent="0.3">
      <c r="E38" s="26"/>
      <c r="F38" s="21"/>
      <c r="G38" s="27"/>
      <c r="H38" s="21"/>
      <c r="I38" s="27"/>
    </row>
    <row r="39" spans="1:9" x14ac:dyDescent="0.3">
      <c r="E39" s="26"/>
      <c r="F39" s="21"/>
      <c r="G39" s="27"/>
      <c r="H39" s="21"/>
      <c r="I39" s="27"/>
    </row>
    <row r="40" spans="1:9" x14ac:dyDescent="0.3">
      <c r="E40" s="26"/>
      <c r="F40" s="21"/>
      <c r="G40" s="27"/>
      <c r="H40" s="21"/>
      <c r="I40" s="27"/>
    </row>
    <row r="41" spans="1:9" x14ac:dyDescent="0.3">
      <c r="E41" s="26"/>
      <c r="F41" s="21"/>
      <c r="G41" s="27"/>
      <c r="H41" s="21"/>
      <c r="I41" s="27"/>
    </row>
    <row r="50" spans="1:14" x14ac:dyDescent="0.3">
      <c r="F50" t="s">
        <v>1078</v>
      </c>
      <c r="I50" t="s">
        <v>1079</v>
      </c>
      <c r="J50" t="str">
        <f>E67</f>
        <v>R01</v>
      </c>
    </row>
    <row r="52" spans="1:14" x14ac:dyDescent="0.3">
      <c r="A52" s="25" t="s">
        <v>1051</v>
      </c>
      <c r="B52" t="s">
        <v>1046</v>
      </c>
      <c r="C52" t="s">
        <v>1042</v>
      </c>
      <c r="F52" t="s">
        <v>1075</v>
      </c>
      <c r="G52" t="s">
        <v>1074</v>
      </c>
      <c r="H52" t="s">
        <v>1073</v>
      </c>
      <c r="I52" t="s">
        <v>1076</v>
      </c>
      <c r="J52" t="s">
        <v>1077</v>
      </c>
    </row>
    <row r="53" spans="1:14" x14ac:dyDescent="0.3">
      <c r="A53" s="26" t="s">
        <v>11</v>
      </c>
      <c r="B53" s="21">
        <v>189</v>
      </c>
      <c r="C53" s="22">
        <v>18415</v>
      </c>
      <c r="F53" t="str" cm="1">
        <f t="array" ref="F53:H57">A53:C57</f>
        <v>R01</v>
      </c>
      <c r="G53">
        <v>189</v>
      </c>
      <c r="H53" s="28">
        <v>18415</v>
      </c>
      <c r="I53">
        <f>IF(F53=$J$50,G53,NA())</f>
        <v>189</v>
      </c>
      <c r="J53">
        <f>IF(F53=$J$50,H53,NA())</f>
        <v>18415</v>
      </c>
    </row>
    <row r="54" spans="1:14" x14ac:dyDescent="0.3">
      <c r="A54" s="26" t="s">
        <v>9</v>
      </c>
      <c r="B54" s="21">
        <v>218</v>
      </c>
      <c r="C54" s="22">
        <v>20581</v>
      </c>
      <c r="F54" t="str">
        <v>R02</v>
      </c>
      <c r="G54">
        <v>218</v>
      </c>
      <c r="H54" s="28">
        <v>20581</v>
      </c>
      <c r="I54" t="e">
        <f t="shared" ref="I54:I57" si="0">IF(F54=$J$50,G54,NA())</f>
        <v>#N/A</v>
      </c>
      <c r="J54" t="e">
        <f t="shared" ref="J54:J57" si="1">IF(F54=$J$50,H54,NA())</f>
        <v>#N/A</v>
      </c>
    </row>
    <row r="55" spans="1:14" x14ac:dyDescent="0.3">
      <c r="A55" s="26" t="s">
        <v>6</v>
      </c>
      <c r="B55" s="21">
        <v>207</v>
      </c>
      <c r="C55" s="22">
        <v>20872</v>
      </c>
      <c r="F55" t="str">
        <v>R03</v>
      </c>
      <c r="G55">
        <v>207</v>
      </c>
      <c r="H55" s="28">
        <v>20872</v>
      </c>
      <c r="I55" t="e">
        <f t="shared" si="0"/>
        <v>#N/A</v>
      </c>
      <c r="J55" t="e">
        <f t="shared" si="1"/>
        <v>#N/A</v>
      </c>
    </row>
    <row r="56" spans="1:14" x14ac:dyDescent="0.3">
      <c r="A56" s="26" t="s">
        <v>13</v>
      </c>
      <c r="B56" s="21">
        <v>186</v>
      </c>
      <c r="C56" s="22">
        <v>16651</v>
      </c>
      <c r="F56" t="str">
        <v>R04</v>
      </c>
      <c r="G56">
        <v>186</v>
      </c>
      <c r="H56" s="28">
        <v>16651</v>
      </c>
      <c r="I56" t="e">
        <f t="shared" si="0"/>
        <v>#N/A</v>
      </c>
      <c r="J56" t="e">
        <f t="shared" si="1"/>
        <v>#N/A</v>
      </c>
    </row>
    <row r="57" spans="1:14" x14ac:dyDescent="0.3">
      <c r="A57" s="26" t="s">
        <v>10</v>
      </c>
      <c r="B57" s="21">
        <v>200</v>
      </c>
      <c r="C57" s="22">
        <v>20104</v>
      </c>
      <c r="F57" t="str">
        <v>R05</v>
      </c>
      <c r="G57">
        <v>200</v>
      </c>
      <c r="H57" s="28">
        <v>20104</v>
      </c>
      <c r="I57" t="e">
        <f t="shared" si="0"/>
        <v>#N/A</v>
      </c>
      <c r="J57" t="e">
        <f t="shared" si="1"/>
        <v>#N/A</v>
      </c>
    </row>
    <row r="58" spans="1:14" x14ac:dyDescent="0.3">
      <c r="A58" s="26" t="s">
        <v>1052</v>
      </c>
      <c r="B58" s="21">
        <v>1000</v>
      </c>
      <c r="C58" s="22">
        <v>96623</v>
      </c>
    </row>
    <row r="61" spans="1:14" x14ac:dyDescent="0.3">
      <c r="J61" t="s">
        <v>1082</v>
      </c>
      <c r="K61" s="42">
        <f>A11/A4</f>
        <v>1</v>
      </c>
      <c r="M61" t="s">
        <v>1085</v>
      </c>
      <c r="N61">
        <f>_xlfn.XLOOKUP(E67,F53:F57,G53:G57)</f>
        <v>189</v>
      </c>
    </row>
    <row r="62" spans="1:14" x14ac:dyDescent="0.3">
      <c r="J62" t="s">
        <v>1083</v>
      </c>
      <c r="K62">
        <f>RANK(N61,G53:G57)</f>
        <v>4</v>
      </c>
      <c r="M62" t="s">
        <v>1086</v>
      </c>
      <c r="N62">
        <f>_xlfn.XLOOKUP(E67,F53:F57,H53:H57)</f>
        <v>18415</v>
      </c>
    </row>
    <row r="63" spans="1:14" x14ac:dyDescent="0.3">
      <c r="J63" t="s">
        <v>1084</v>
      </c>
      <c r="K63">
        <f>RANK(N62,H53:H57)</f>
        <v>4</v>
      </c>
    </row>
    <row r="65" spans="1:11" x14ac:dyDescent="0.3">
      <c r="K65" t="str">
        <f>"% of Calls"&amp;TEXT(K61,"0%")</f>
        <v>% of Calls100%</v>
      </c>
    </row>
    <row r="66" spans="1:11" x14ac:dyDescent="0.3">
      <c r="E66" s="25" t="s">
        <v>1051</v>
      </c>
      <c r="K66" t="str">
        <f>IF(COUNTA(E67:E71)&gt;1,"","Call Rank:"&amp;K62)</f>
        <v/>
      </c>
    </row>
    <row r="67" spans="1:11" x14ac:dyDescent="0.3">
      <c r="E67" s="49" t="s">
        <v>11</v>
      </c>
      <c r="K67" t="str">
        <f>IF(COUNTA(E67:E71)&gt;1,"","Amount Rank:"&amp;K63)</f>
        <v/>
      </c>
    </row>
    <row r="68" spans="1:11" x14ac:dyDescent="0.3">
      <c r="E68" s="49" t="s">
        <v>9</v>
      </c>
    </row>
    <row r="69" spans="1:11" x14ac:dyDescent="0.3">
      <c r="E69" s="49" t="s">
        <v>6</v>
      </c>
      <c r="K69" t="str">
        <f>IF(COUNTA(E67:E71)&gt;1,"",_xlfn.XLOOKUP(E67,Assets!E3:E7,Assets!F3:F7))</f>
        <v/>
      </c>
    </row>
    <row r="70" spans="1:11" x14ac:dyDescent="0.3">
      <c r="E70" s="49" t="s">
        <v>13</v>
      </c>
    </row>
    <row r="71" spans="1:11" x14ac:dyDescent="0.3">
      <c r="E71" s="49" t="s">
        <v>10</v>
      </c>
    </row>
    <row r="74" spans="1:11" x14ac:dyDescent="0.3">
      <c r="G74" s="25" t="s">
        <v>1051</v>
      </c>
      <c r="H74" t="s">
        <v>1046</v>
      </c>
    </row>
    <row r="75" spans="1:11" x14ac:dyDescent="0.3">
      <c r="A75" s="25" t="s">
        <v>1046</v>
      </c>
      <c r="B75" s="25" t="s">
        <v>1080</v>
      </c>
      <c r="G75" s="26">
        <v>0</v>
      </c>
      <c r="H75" s="21">
        <v>1</v>
      </c>
    </row>
    <row r="76" spans="1:11" x14ac:dyDescent="0.3">
      <c r="A76" s="25" t="s">
        <v>1051</v>
      </c>
      <c r="B76" t="s">
        <v>999</v>
      </c>
      <c r="C76" t="s">
        <v>998</v>
      </c>
      <c r="D76" t="s">
        <v>1052</v>
      </c>
      <c r="G76" s="26">
        <v>1</v>
      </c>
      <c r="H76" s="21">
        <v>8</v>
      </c>
    </row>
    <row r="77" spans="1:11" x14ac:dyDescent="0.3">
      <c r="A77" s="26" t="s">
        <v>1002</v>
      </c>
      <c r="B77" s="21">
        <v>144</v>
      </c>
      <c r="C77" s="21">
        <v>132</v>
      </c>
      <c r="D77" s="21">
        <v>276</v>
      </c>
      <c r="G77" s="26">
        <v>2</v>
      </c>
      <c r="H77" s="21">
        <v>59</v>
      </c>
    </row>
    <row r="78" spans="1:11" x14ac:dyDescent="0.3">
      <c r="A78" s="26" t="s">
        <v>1001</v>
      </c>
      <c r="B78" s="21">
        <v>326</v>
      </c>
      <c r="C78" s="21">
        <v>63</v>
      </c>
      <c r="D78" s="21">
        <v>389</v>
      </c>
      <c r="G78" s="26">
        <v>3</v>
      </c>
      <c r="H78" s="21">
        <v>197</v>
      </c>
    </row>
    <row r="79" spans="1:11" x14ac:dyDescent="0.3">
      <c r="A79" s="26" t="s">
        <v>1000</v>
      </c>
      <c r="B79" s="21">
        <v>129</v>
      </c>
      <c r="C79" s="21">
        <v>206</v>
      </c>
      <c r="D79" s="21">
        <v>335</v>
      </c>
      <c r="G79" s="26">
        <v>4</v>
      </c>
      <c r="H79" s="21">
        <v>428</v>
      </c>
    </row>
    <row r="80" spans="1:11" x14ac:dyDescent="0.3">
      <c r="A80" s="26" t="s">
        <v>1052</v>
      </c>
      <c r="B80" s="21">
        <v>599</v>
      </c>
      <c r="C80" s="21">
        <v>401</v>
      </c>
      <c r="D80" s="21">
        <v>1000</v>
      </c>
      <c r="G80" s="26">
        <v>5</v>
      </c>
      <c r="H80" s="21">
        <v>307</v>
      </c>
    </row>
    <row r="81" spans="1:8" x14ac:dyDescent="0.3">
      <c r="G81" s="26" t="s">
        <v>1052</v>
      </c>
      <c r="H81" s="21">
        <v>1000</v>
      </c>
    </row>
    <row r="83" spans="1:8" x14ac:dyDescent="0.3">
      <c r="A83" s="25" t="s">
        <v>1042</v>
      </c>
      <c r="B83" s="25" t="s">
        <v>1080</v>
      </c>
    </row>
    <row r="84" spans="1:8" x14ac:dyDescent="0.3">
      <c r="A84" s="25" t="s">
        <v>1051</v>
      </c>
      <c r="B84" t="s">
        <v>11</v>
      </c>
      <c r="C84" t="s">
        <v>9</v>
      </c>
      <c r="D84" t="s">
        <v>6</v>
      </c>
      <c r="E84" t="s">
        <v>13</v>
      </c>
      <c r="F84" t="s">
        <v>10</v>
      </c>
      <c r="G84" t="s">
        <v>1052</v>
      </c>
    </row>
    <row r="85" spans="1:8" x14ac:dyDescent="0.3">
      <c r="A85" s="26" t="s">
        <v>1002</v>
      </c>
    </row>
    <row r="86" spans="1:8" x14ac:dyDescent="0.3">
      <c r="A86" s="29" t="s">
        <v>20</v>
      </c>
      <c r="B86" s="22">
        <v>891</v>
      </c>
      <c r="C86" s="22">
        <v>1332</v>
      </c>
      <c r="D86" s="22">
        <v>1282</v>
      </c>
      <c r="E86" s="22">
        <v>739</v>
      </c>
      <c r="F86" s="22">
        <v>560</v>
      </c>
      <c r="G86" s="22">
        <v>4804</v>
      </c>
    </row>
    <row r="87" spans="1:8" x14ac:dyDescent="0.3">
      <c r="A87" s="29" t="s">
        <v>12</v>
      </c>
      <c r="B87" s="22">
        <v>1991</v>
      </c>
      <c r="C87" s="22">
        <v>1886</v>
      </c>
      <c r="D87" s="22">
        <v>1206</v>
      </c>
      <c r="E87" s="22">
        <v>884</v>
      </c>
      <c r="F87" s="22">
        <v>1722</v>
      </c>
      <c r="G87" s="22">
        <v>7689</v>
      </c>
    </row>
    <row r="88" spans="1:8" x14ac:dyDescent="0.3">
      <c r="A88" s="29" t="s">
        <v>8</v>
      </c>
      <c r="B88" s="22">
        <v>1163</v>
      </c>
      <c r="C88" s="22">
        <v>1180</v>
      </c>
      <c r="D88" s="22">
        <v>1616</v>
      </c>
      <c r="E88" s="22">
        <v>1043</v>
      </c>
      <c r="F88" s="22">
        <v>1747</v>
      </c>
      <c r="G88" s="22">
        <v>6749</v>
      </c>
    </row>
    <row r="89" spans="1:8" x14ac:dyDescent="0.3">
      <c r="A89" s="29" t="s">
        <v>16</v>
      </c>
      <c r="B89" s="22">
        <v>1438</v>
      </c>
      <c r="C89" s="22">
        <v>1616</v>
      </c>
      <c r="D89" s="22">
        <v>866</v>
      </c>
      <c r="E89" s="22">
        <v>829</v>
      </c>
      <c r="F89" s="22">
        <v>2070</v>
      </c>
      <c r="G89" s="22">
        <v>6819</v>
      </c>
    </row>
    <row r="90" spans="1:8" x14ac:dyDescent="0.3">
      <c r="A90" s="26" t="s">
        <v>1001</v>
      </c>
    </row>
    <row r="91" spans="1:8" x14ac:dyDescent="0.3">
      <c r="A91" s="29" t="s">
        <v>24</v>
      </c>
      <c r="B91" s="22">
        <v>1233</v>
      </c>
      <c r="C91" s="22">
        <v>223</v>
      </c>
      <c r="D91" s="22">
        <v>1680</v>
      </c>
      <c r="E91" s="22">
        <v>990</v>
      </c>
      <c r="F91" s="22">
        <v>1508</v>
      </c>
      <c r="G91" s="22">
        <v>5634</v>
      </c>
    </row>
    <row r="92" spans="1:8" x14ac:dyDescent="0.3">
      <c r="A92" s="29" t="s">
        <v>15</v>
      </c>
      <c r="B92" s="22">
        <v>1598</v>
      </c>
      <c r="C92" s="22">
        <v>1907</v>
      </c>
      <c r="D92" s="22">
        <v>869</v>
      </c>
      <c r="E92" s="22">
        <v>1426</v>
      </c>
      <c r="F92" s="22">
        <v>1416</v>
      </c>
      <c r="G92" s="22">
        <v>7216</v>
      </c>
    </row>
    <row r="93" spans="1:8" x14ac:dyDescent="0.3">
      <c r="A93" s="29" t="s">
        <v>5</v>
      </c>
      <c r="B93" s="22">
        <v>900</v>
      </c>
      <c r="C93" s="22">
        <v>1016</v>
      </c>
      <c r="D93" s="22">
        <v>960</v>
      </c>
      <c r="E93" s="22">
        <v>940</v>
      </c>
      <c r="F93" s="22">
        <v>1193</v>
      </c>
      <c r="G93" s="22">
        <v>5009</v>
      </c>
    </row>
    <row r="94" spans="1:8" x14ac:dyDescent="0.3">
      <c r="A94" s="29" t="s">
        <v>18</v>
      </c>
      <c r="B94" s="22">
        <v>900</v>
      </c>
      <c r="C94" s="22">
        <v>1470</v>
      </c>
      <c r="D94" s="22">
        <v>1617</v>
      </c>
      <c r="E94" s="22">
        <v>1314</v>
      </c>
      <c r="F94" s="22">
        <v>941</v>
      </c>
      <c r="G94" s="22">
        <v>6242</v>
      </c>
    </row>
    <row r="95" spans="1:8" x14ac:dyDescent="0.3">
      <c r="A95" s="29" t="s">
        <v>14</v>
      </c>
      <c r="B95" s="22">
        <v>1255</v>
      </c>
      <c r="C95" s="22">
        <v>516</v>
      </c>
      <c r="D95" s="22">
        <v>1874</v>
      </c>
      <c r="E95" s="22">
        <v>1863</v>
      </c>
      <c r="F95" s="22">
        <v>1722</v>
      </c>
      <c r="G95" s="22">
        <v>7230</v>
      </c>
    </row>
    <row r="96" spans="1:8" x14ac:dyDescent="0.3">
      <c r="A96" s="29" t="s">
        <v>19</v>
      </c>
      <c r="B96" s="22">
        <v>1138</v>
      </c>
      <c r="C96" s="22">
        <v>1898</v>
      </c>
      <c r="D96" s="22">
        <v>1482</v>
      </c>
      <c r="E96" s="22">
        <v>846</v>
      </c>
      <c r="F96" s="22">
        <v>1154</v>
      </c>
      <c r="G96" s="22">
        <v>6518</v>
      </c>
    </row>
    <row r="97" spans="1:7" x14ac:dyDescent="0.3">
      <c r="A97" s="26" t="s">
        <v>1000</v>
      </c>
    </row>
    <row r="98" spans="1:7" x14ac:dyDescent="0.3">
      <c r="A98" s="29" t="s">
        <v>17</v>
      </c>
      <c r="B98" s="22">
        <v>1655</v>
      </c>
      <c r="C98" s="22">
        <v>805</v>
      </c>
      <c r="D98" s="22">
        <v>2263</v>
      </c>
      <c r="E98" s="22">
        <v>987</v>
      </c>
      <c r="F98" s="22">
        <v>1075</v>
      </c>
      <c r="G98" s="22">
        <v>6785</v>
      </c>
    </row>
    <row r="99" spans="1:7" x14ac:dyDescent="0.3">
      <c r="A99" s="29" t="s">
        <v>23</v>
      </c>
      <c r="B99" s="22">
        <v>1104</v>
      </c>
      <c r="C99" s="22">
        <v>2280</v>
      </c>
      <c r="D99" s="22">
        <v>1445</v>
      </c>
      <c r="E99" s="22">
        <v>1722</v>
      </c>
      <c r="F99" s="22">
        <v>1196</v>
      </c>
      <c r="G99" s="22">
        <v>7747</v>
      </c>
    </row>
    <row r="100" spans="1:7" x14ac:dyDescent="0.3">
      <c r="A100" s="29" t="s">
        <v>7</v>
      </c>
      <c r="B100" s="22">
        <v>372</v>
      </c>
      <c r="C100" s="22">
        <v>1818</v>
      </c>
      <c r="D100" s="22">
        <v>1346</v>
      </c>
      <c r="E100" s="22">
        <v>1156</v>
      </c>
      <c r="F100" s="22">
        <v>1484</v>
      </c>
      <c r="G100" s="22">
        <v>6176</v>
      </c>
    </row>
    <row r="101" spans="1:7" x14ac:dyDescent="0.3">
      <c r="A101" s="29" t="s">
        <v>22</v>
      </c>
      <c r="B101" s="22">
        <v>1415</v>
      </c>
      <c r="C101" s="22">
        <v>1271</v>
      </c>
      <c r="D101" s="22">
        <v>1214</v>
      </c>
      <c r="E101" s="22">
        <v>1135</v>
      </c>
      <c r="F101" s="22">
        <v>1566</v>
      </c>
      <c r="G101" s="22">
        <v>6601</v>
      </c>
    </row>
    <row r="102" spans="1:7" x14ac:dyDescent="0.3">
      <c r="A102" s="29" t="s">
        <v>21</v>
      </c>
      <c r="B102" s="22">
        <v>1362</v>
      </c>
      <c r="C102" s="22">
        <v>1363</v>
      </c>
      <c r="D102" s="22">
        <v>1152</v>
      </c>
      <c r="E102" s="22">
        <v>777</v>
      </c>
      <c r="F102" s="22">
        <v>750</v>
      </c>
      <c r="G102"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J9"/>
  <sheetViews>
    <sheetView zoomScaleNormal="100" workbookViewId="0">
      <selection activeCell="L10" sqref="L10"/>
    </sheetView>
  </sheetViews>
  <sheetFormatPr defaultRowHeight="14.4" x14ac:dyDescent="0.3"/>
  <cols>
    <col min="5" max="5" width="10.8984375" customWidth="1"/>
    <col min="6" max="6" width="9.8984375" customWidth="1"/>
  </cols>
  <sheetData>
    <row r="2" spans="5:10" x14ac:dyDescent="0.3">
      <c r="E2" t="s">
        <v>1040</v>
      </c>
      <c r="F2" t="s">
        <v>1041</v>
      </c>
    </row>
    <row r="3" spans="5:10" ht="25.5" customHeight="1" x14ac:dyDescent="0.3">
      <c r="E3" t="s">
        <v>11</v>
      </c>
      <c r="F3" t="e" vm="1">
        <v>#VALUE!</v>
      </c>
    </row>
    <row r="4" spans="5:10" ht="25.5" customHeight="1" x14ac:dyDescent="0.3">
      <c r="E4" t="s">
        <v>9</v>
      </c>
      <c r="F4" t="e" vm="2">
        <v>#VALUE!</v>
      </c>
    </row>
    <row r="5" spans="5:10" ht="25.5" customHeight="1" x14ac:dyDescent="0.3">
      <c r="E5" t="s">
        <v>6</v>
      </c>
      <c r="F5" t="e" vm="3">
        <v>#VALUE!</v>
      </c>
    </row>
    <row r="6" spans="5:10" ht="25.5" customHeight="1" x14ac:dyDescent="0.3">
      <c r="E6" t="s">
        <v>13</v>
      </c>
      <c r="F6" t="e" vm="4">
        <v>#VALUE!</v>
      </c>
      <c r="J6" t="s">
        <v>1047</v>
      </c>
    </row>
    <row r="7" spans="5:10" ht="25.5" customHeight="1" x14ac:dyDescent="0.3">
      <c r="E7" t="s">
        <v>10</v>
      </c>
      <c r="F7" t="e" vm="5">
        <v>#VALUE!</v>
      </c>
      <c r="J7" t="s">
        <v>1048</v>
      </c>
    </row>
    <row r="8" spans="5:10" x14ac:dyDescent="0.3">
      <c r="J8" t="s">
        <v>1049</v>
      </c>
    </row>
    <row r="9" spans="5:10" x14ac:dyDescent="0.3">
      <c r="J9" t="s">
        <v>1050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center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Rais Khan</cp:lastModifiedBy>
  <dcterms:created xsi:type="dcterms:W3CDTF">2021-03-14T20:21:32Z</dcterms:created>
  <dcterms:modified xsi:type="dcterms:W3CDTF">2026-09-02T12:00:30Z</dcterms:modified>
</cp:coreProperties>
</file>